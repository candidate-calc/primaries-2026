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סבר" sheetId="1" state="visible" r:id="rId1"/>
    <sheet xmlns:r="http://schemas.openxmlformats.org/officeDocument/2006/relationships" name="פרמטרים" sheetId="2" state="visible" r:id="rId2"/>
    <sheet xmlns:r="http://schemas.openxmlformats.org/officeDocument/2006/relationships" name="דירוגי נושאים" sheetId="3" state="visible" r:id="rId3"/>
    <sheet xmlns:r="http://schemas.openxmlformats.org/officeDocument/2006/relationships" name="דירוגי תכונות" sheetId="4" state="visible" r:id="rId4"/>
    <sheet xmlns:r="http://schemas.openxmlformats.org/officeDocument/2006/relationships" name="חישוב" sheetId="5" state="visible" r:id="rId5"/>
    <sheet xmlns:r="http://schemas.openxmlformats.org/officeDocument/2006/relationships" name="דירוג סופ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</font>
    <font>
      <name val="Arial"/>
      <color rgb="000000FF"/>
    </font>
    <font>
      <name val="Arial"/>
      <sz val="9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" fontId="7" fillId="0" borderId="1" pivotButton="0" quotePrefix="0" xfId="0"/>
    <xf numFmtId="2" fontId="7" fillId="0" borderId="1" pivotButton="0" quotePrefix="0" xfId="0"/>
    <xf numFmtId="164" fontId="7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מחשבון ציונים — פריימריז הדמוקרטים 2026</t>
        </is>
      </c>
      <c r="B1" s="2" t="inlineStr"/>
    </row>
    <row r="2">
      <c r="A2" s="3" t="inlineStr"/>
      <c r="B2" s="2" t="inlineStr"/>
    </row>
    <row r="3">
      <c r="A3" s="3" t="inlineStr">
        <is>
          <t>מה יש כאן?</t>
        </is>
      </c>
      <c r="B3" s="2" t="inlineStr">
        <is>
          <t>דירוגי 51 המועמדים ב-10 נושאים (5 ממדים) ו-5 תכונות (4 ממדים), בסולם 1-5, לפי תיקי המידע.</t>
        </is>
      </c>
    </row>
    <row r="4">
      <c r="A4" s="3" t="inlineStr">
        <is>
          <t>איך משתמשים?</t>
        </is>
      </c>
      <c r="B4" s="2" t="inlineStr">
        <is>
          <t>1. פתחו את גיליון "פרמטרים" וכוונו את המשקלים (תאים כחולים) לפי ההעדפות שלכם.</t>
        </is>
      </c>
    </row>
    <row r="5">
      <c r="A5" s="3" t="inlineStr"/>
      <c r="B5" s="2" t="inlineStr">
        <is>
          <t>2. גיליון "דירוג סופי" יתעדכן אוטומטית ויציג את המועמדים מהגבוה לנמוך.</t>
        </is>
      </c>
    </row>
    <row r="6">
      <c r="A6" s="3" t="inlineStr"/>
      <c r="B6" s="2" t="inlineStr">
        <is>
          <t>3. בפריימריז מצביעים ל-6-8 מועמדים — קחו את הראשונים בדירוג, בכפוף לשיקולי שריונים.</t>
        </is>
      </c>
    </row>
    <row r="7">
      <c r="A7" s="3" t="inlineStr">
        <is>
          <t>הנוסחה</t>
        </is>
      </c>
      <c r="B7" s="2" t="inlineStr">
        <is>
          <t>ציון נושא = ממוצע משוקלל של 5 הממדים (משקלי D1-D5).</t>
        </is>
      </c>
    </row>
    <row r="8">
      <c r="A8" s="3" t="inlineStr"/>
      <c r="B8" s="2" t="inlineStr">
        <is>
          <t>ציון נושאים כולל = ממוצע משוקלל של 10 הנושאים (משקלי הנושאים).</t>
        </is>
      </c>
    </row>
    <row r="9">
      <c r="A9" s="3" t="inlineStr"/>
      <c r="B9" s="2" t="inlineStr">
        <is>
          <t>ציון תכונות = מקביל, עם משקלי E1-E4 ומשקלי התכונות.</t>
        </is>
      </c>
    </row>
    <row r="10">
      <c r="A10" s="3" t="inlineStr"/>
      <c r="B10" s="2" t="inlineStr">
        <is>
          <t>ציון סופי = [λ×נושאים + (1-λ)×תכונות] × [1 - β×(5-ביסוס)/4]</t>
        </is>
      </c>
    </row>
    <row r="11">
      <c r="A11" s="3" t="inlineStr"/>
      <c r="B11" s="2" t="inlineStr">
        <is>
          <t>β קובע כמה "לקנוס" מועמד שהמידע עליו דל (ביסוס נמוך = בעיקר עדות עצמית).</t>
        </is>
      </c>
    </row>
    <row r="12">
      <c r="A12" s="3" t="inlineStr">
        <is>
          <t>אזהרה</t>
        </is>
      </c>
      <c r="B12" s="2" t="inlineStr">
        <is>
          <t>הדירוגים הם שיפוט מנומק על סמך המקורות שנאספו ב-6.7.2026 — לא מדידה אובייקטיבית.</t>
        </is>
      </c>
    </row>
    <row r="13">
      <c r="A13" s="3" t="inlineStr"/>
      <c r="B13" s="2" t="inlineStr">
        <is>
          <t>פירוט הראיות: candidates/*.md · אמינות מקורות: 02-sources.md · שיטה: 04-scoring-method.md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פרמטרים אישיים — שנו את התאים הכחולים (0-10)</t>
        </is>
      </c>
    </row>
    <row r="3">
      <c r="A3" s="4" t="inlineStr">
        <is>
          <t>משקלי נושאים (0-10)</t>
        </is>
      </c>
    </row>
    <row r="4">
      <c r="A4" s="5" t="inlineStr">
        <is>
          <t>T1 ביטחון/חטופים</t>
        </is>
      </c>
      <c r="B4" s="6" t="n">
        <v>5</v>
      </c>
    </row>
    <row r="5">
      <c r="A5" s="5" t="inlineStr">
        <is>
          <t>T2 דמוקרטיה ומשפט</t>
        </is>
      </c>
      <c r="B5" s="6" t="n">
        <v>9</v>
      </c>
    </row>
    <row r="6">
      <c r="A6" s="5" t="inlineStr">
        <is>
          <t>T3 דת ומדינה/שוויון בנטל</t>
        </is>
      </c>
      <c r="B6" s="6" t="n">
        <v>10</v>
      </c>
    </row>
    <row r="7">
      <c r="A7" s="5" t="inlineStr">
        <is>
          <t>T4 הסדרה ושלום</t>
        </is>
      </c>
      <c r="B7" s="6" t="n">
        <v>3</v>
      </c>
    </row>
    <row r="8">
      <c r="A8" s="5" t="inlineStr">
        <is>
          <t>T5 שוויון אזרחי/שותפות</t>
        </is>
      </c>
      <c r="B8" s="6" t="n">
        <v>5</v>
      </c>
    </row>
    <row r="9">
      <c r="A9" s="5" t="inlineStr">
        <is>
          <t>T6 כלכלה עבודה ורווחה</t>
        </is>
      </c>
      <c r="B9" s="6" t="n">
        <v>5</v>
      </c>
    </row>
    <row r="10">
      <c r="A10" s="5" t="inlineStr">
        <is>
          <t>T7 חינוך ובריאות</t>
        </is>
      </c>
      <c r="B10" s="6" t="n">
        <v>5</v>
      </c>
    </row>
    <row r="11">
      <c r="A11" s="5" t="inlineStr">
        <is>
          <t>T8 סביבה ואקלים</t>
        </is>
      </c>
      <c r="B11" s="6" t="n">
        <v>3</v>
      </c>
    </row>
    <row r="12">
      <c r="A12" s="5" t="inlineStr">
        <is>
          <t>T9 שקיפות וטוהר מידות</t>
        </is>
      </c>
      <c r="B12" s="6" t="n">
        <v>7</v>
      </c>
    </row>
    <row r="13">
      <c r="A13" s="5" t="inlineStr">
        <is>
          <t>T10 מגדר ולהט"ב</t>
        </is>
      </c>
      <c r="B13" s="6" t="n">
        <v>2</v>
      </c>
    </row>
    <row r="15">
      <c r="A15" s="4" t="inlineStr">
        <is>
          <t>משקלי תכונות (0-10)</t>
        </is>
      </c>
    </row>
    <row r="16">
      <c r="A16" s="5" t="inlineStr">
        <is>
          <t>C1 יושרה</t>
        </is>
      </c>
      <c r="B16" s="6" t="n">
        <v>6</v>
      </c>
    </row>
    <row r="17">
      <c r="A17" s="5" t="inlineStr">
        <is>
          <t>C2 חריצות וביצוע</t>
        </is>
      </c>
      <c r="B17" s="6" t="n">
        <v>9</v>
      </c>
    </row>
    <row r="18">
      <c r="A18" s="5" t="inlineStr">
        <is>
          <t>C3 אומץ ציבורי</t>
        </is>
      </c>
      <c r="B18" s="6" t="n">
        <v>8</v>
      </c>
    </row>
    <row r="19">
      <c r="A19" s="5" t="inlineStr">
        <is>
          <t>C4 חיבור ועבודה רוחבית</t>
        </is>
      </c>
      <c r="B19" s="6" t="n">
        <v>10</v>
      </c>
    </row>
    <row r="20">
      <c r="A20" s="5" t="inlineStr">
        <is>
          <t>C5 מקצועיות וניסיון</t>
        </is>
      </c>
      <c r="B20" s="6" t="n">
        <v>5</v>
      </c>
    </row>
    <row r="22">
      <c r="A22" s="4" t="inlineStr">
        <is>
          <t>משקלי ממדי נושא (D1-D5)</t>
        </is>
      </c>
      <c r="B22" s="7" t="inlineStr">
        <is>
          <t>D1 הצהרות</t>
        </is>
      </c>
      <c r="C22" s="7" t="inlineStr">
        <is>
          <t>D2 תקשורת</t>
        </is>
      </c>
      <c r="D22" s="7" t="inlineStr">
        <is>
          <t>D3 שטח</t>
        </is>
      </c>
      <c r="E22" s="7" t="inlineStr">
        <is>
          <t>D4 הצלחה</t>
        </is>
      </c>
      <c r="F22" s="7" t="inlineStr">
        <is>
          <t>D5 קרדיט</t>
        </is>
      </c>
    </row>
    <row r="23">
      <c r="B23" s="6" t="n">
        <v>1</v>
      </c>
      <c r="C23" s="6" t="n">
        <v>1</v>
      </c>
      <c r="D23" s="6" t="n">
        <v>2</v>
      </c>
      <c r="E23" s="6" t="n">
        <v>3</v>
      </c>
      <c r="F23" s="6" t="n">
        <v>2</v>
      </c>
    </row>
    <row r="25">
      <c r="A25" s="4" t="inlineStr">
        <is>
          <t>משקלי ממדי תכונה (E1-E4)</t>
        </is>
      </c>
      <c r="B25" s="7" t="inlineStr">
        <is>
          <t>E1 עדות עצמית</t>
        </is>
      </c>
      <c r="C25" s="7" t="inlineStr">
        <is>
          <t>E2 קרדיט עמיתים</t>
        </is>
      </c>
      <c r="D25" s="7" t="inlineStr">
        <is>
          <t>E3 תקשורת</t>
        </is>
      </c>
      <c r="E25" s="7" t="inlineStr">
        <is>
          <t>E4 שטח</t>
        </is>
      </c>
    </row>
    <row r="26">
      <c r="B26" s="6" t="n">
        <v>0.5</v>
      </c>
      <c r="C26" s="6" t="n">
        <v>2</v>
      </c>
      <c r="D26" s="6" t="n">
        <v>2</v>
      </c>
      <c r="E26" s="6" t="n">
        <v>1.5</v>
      </c>
    </row>
    <row r="28">
      <c r="A28" s="4" t="inlineStr">
        <is>
          <t>λ — משקל נושאים מול תכונות (0-1)</t>
        </is>
      </c>
      <c r="B28" s="6" t="n">
        <v>0.7</v>
      </c>
    </row>
    <row r="29">
      <c r="A29" s="4" t="inlineStr">
        <is>
          <t>β — קנס על ביסוס נמוך (0-0.5)</t>
        </is>
      </c>
      <c r="B29" s="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2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ביסוס</t>
        </is>
      </c>
      <c r="D1" s="8" t="inlineStr">
        <is>
          <t>T1 D1</t>
        </is>
      </c>
      <c r="E1" s="8" t="inlineStr">
        <is>
          <t>T1 D2</t>
        </is>
      </c>
      <c r="F1" s="8" t="inlineStr">
        <is>
          <t>T1 D3</t>
        </is>
      </c>
      <c r="G1" s="8" t="inlineStr">
        <is>
          <t>T1 D4</t>
        </is>
      </c>
      <c r="H1" s="8" t="inlineStr">
        <is>
          <t>T1 D5</t>
        </is>
      </c>
      <c r="I1" s="8" t="inlineStr">
        <is>
          <t>T2 D1</t>
        </is>
      </c>
      <c r="J1" s="8" t="inlineStr">
        <is>
          <t>T2 D2</t>
        </is>
      </c>
      <c r="K1" s="8" t="inlineStr">
        <is>
          <t>T2 D3</t>
        </is>
      </c>
      <c r="L1" s="8" t="inlineStr">
        <is>
          <t>T2 D4</t>
        </is>
      </c>
      <c r="M1" s="8" t="inlineStr">
        <is>
          <t>T2 D5</t>
        </is>
      </c>
      <c r="N1" s="8" t="inlineStr">
        <is>
          <t>T3 D1</t>
        </is>
      </c>
      <c r="O1" s="8" t="inlineStr">
        <is>
          <t>T3 D2</t>
        </is>
      </c>
      <c r="P1" s="8" t="inlineStr">
        <is>
          <t>T3 D3</t>
        </is>
      </c>
      <c r="Q1" s="8" t="inlineStr">
        <is>
          <t>T3 D4</t>
        </is>
      </c>
      <c r="R1" s="8" t="inlineStr">
        <is>
          <t>T3 D5</t>
        </is>
      </c>
      <c r="S1" s="8" t="inlineStr">
        <is>
          <t>T4 D1</t>
        </is>
      </c>
      <c r="T1" s="8" t="inlineStr">
        <is>
          <t>T4 D2</t>
        </is>
      </c>
      <c r="U1" s="8" t="inlineStr">
        <is>
          <t>T4 D3</t>
        </is>
      </c>
      <c r="V1" s="8" t="inlineStr">
        <is>
          <t>T4 D4</t>
        </is>
      </c>
      <c r="W1" s="8" t="inlineStr">
        <is>
          <t>T4 D5</t>
        </is>
      </c>
      <c r="X1" s="8" t="inlineStr">
        <is>
          <t>T5 D1</t>
        </is>
      </c>
      <c r="Y1" s="8" t="inlineStr">
        <is>
          <t>T5 D2</t>
        </is>
      </c>
      <c r="Z1" s="8" t="inlineStr">
        <is>
          <t>T5 D3</t>
        </is>
      </c>
      <c r="AA1" s="8" t="inlineStr">
        <is>
          <t>T5 D4</t>
        </is>
      </c>
      <c r="AB1" s="8" t="inlineStr">
        <is>
          <t>T5 D5</t>
        </is>
      </c>
      <c r="AC1" s="8" t="inlineStr">
        <is>
          <t>T6 D1</t>
        </is>
      </c>
      <c r="AD1" s="8" t="inlineStr">
        <is>
          <t>T6 D2</t>
        </is>
      </c>
      <c r="AE1" s="8" t="inlineStr">
        <is>
          <t>T6 D3</t>
        </is>
      </c>
      <c r="AF1" s="8" t="inlineStr">
        <is>
          <t>T6 D4</t>
        </is>
      </c>
      <c r="AG1" s="8" t="inlineStr">
        <is>
          <t>T6 D5</t>
        </is>
      </c>
      <c r="AH1" s="8" t="inlineStr">
        <is>
          <t>T7 D1</t>
        </is>
      </c>
      <c r="AI1" s="8" t="inlineStr">
        <is>
          <t>T7 D2</t>
        </is>
      </c>
      <c r="AJ1" s="8" t="inlineStr">
        <is>
          <t>T7 D3</t>
        </is>
      </c>
      <c r="AK1" s="8" t="inlineStr">
        <is>
          <t>T7 D4</t>
        </is>
      </c>
      <c r="AL1" s="8" t="inlineStr">
        <is>
          <t>T7 D5</t>
        </is>
      </c>
      <c r="AM1" s="8" t="inlineStr">
        <is>
          <t>T8 D1</t>
        </is>
      </c>
      <c r="AN1" s="8" t="inlineStr">
        <is>
          <t>T8 D2</t>
        </is>
      </c>
      <c r="AO1" s="8" t="inlineStr">
        <is>
          <t>T8 D3</t>
        </is>
      </c>
      <c r="AP1" s="8" t="inlineStr">
        <is>
          <t>T8 D4</t>
        </is>
      </c>
      <c r="AQ1" s="8" t="inlineStr">
        <is>
          <t>T8 D5</t>
        </is>
      </c>
      <c r="AR1" s="8" t="inlineStr">
        <is>
          <t>T9 D1</t>
        </is>
      </c>
      <c r="AS1" s="8" t="inlineStr">
        <is>
          <t>T9 D2</t>
        </is>
      </c>
      <c r="AT1" s="8" t="inlineStr">
        <is>
          <t>T9 D3</t>
        </is>
      </c>
      <c r="AU1" s="8" t="inlineStr">
        <is>
          <t>T9 D4</t>
        </is>
      </c>
      <c r="AV1" s="8" t="inlineStr">
        <is>
          <t>T9 D5</t>
        </is>
      </c>
      <c r="AW1" s="8" t="inlineStr">
        <is>
          <t>T10 D1</t>
        </is>
      </c>
      <c r="AX1" s="8" t="inlineStr">
        <is>
          <t>T10 D2</t>
        </is>
      </c>
      <c r="AY1" s="8" t="inlineStr">
        <is>
          <t>T10 D3</t>
        </is>
      </c>
      <c r="AZ1" s="8" t="inlineStr">
        <is>
          <t>T10 D4</t>
        </is>
      </c>
      <c r="BA1" s="8" t="inlineStr">
        <is>
          <t>T10 D5</t>
        </is>
      </c>
    </row>
    <row r="2">
      <c r="A2" s="9" t="n">
        <v>1</v>
      </c>
      <c r="B2" s="9" t="inlineStr">
        <is>
          <t>משה רדמן אבוטבול</t>
        </is>
      </c>
      <c r="C2" s="9" t="n">
        <v>4.5</v>
      </c>
      <c r="D2" s="9" t="n">
        <v>3</v>
      </c>
      <c r="E2" s="9" t="n">
        <v>3</v>
      </c>
      <c r="F2" s="9" t="n">
        <v>3</v>
      </c>
      <c r="G2" s="9" t="n">
        <v>2</v>
      </c>
      <c r="H2" s="9" t="n">
        <v>2</v>
      </c>
      <c r="I2" s="9" t="n">
        <v>5</v>
      </c>
      <c r="J2" s="9" t="n">
        <v>5</v>
      </c>
      <c r="K2" s="9" t="n">
        <v>5</v>
      </c>
      <c r="L2" s="9" t="n">
        <v>4</v>
      </c>
      <c r="M2" s="9" t="n">
        <v>3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3</v>
      </c>
      <c r="T2" s="9" t="n">
        <v>2</v>
      </c>
      <c r="U2" s="9" t="n">
        <v>2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  <c r="AP2" s="9" t="n">
        <v>1</v>
      </c>
      <c r="AQ2" s="9" t="n">
        <v>1</v>
      </c>
      <c r="AR2" s="9" t="n">
        <v>3</v>
      </c>
      <c r="AS2" s="9" t="n">
        <v>3</v>
      </c>
      <c r="AT2" s="9" t="n">
        <v>2</v>
      </c>
      <c r="AU2" s="9" t="n">
        <v>2</v>
      </c>
      <c r="AV2" s="9" t="n">
        <v>1</v>
      </c>
      <c r="AW2" s="9" t="n">
        <v>1</v>
      </c>
      <c r="AX2" s="9" t="n">
        <v>1</v>
      </c>
      <c r="AY2" s="9" t="n">
        <v>1</v>
      </c>
      <c r="AZ2" s="9" t="n">
        <v>1</v>
      </c>
      <c r="BA2" s="9" t="n">
        <v>1</v>
      </c>
    </row>
    <row r="3">
      <c r="A3" s="9" t="n">
        <v>2</v>
      </c>
      <c r="B3" s="9" t="inlineStr">
        <is>
          <t>ערן עציון</t>
        </is>
      </c>
      <c r="C3" s="9" t="n">
        <v>4</v>
      </c>
      <c r="D3" s="9" t="n">
        <v>4</v>
      </c>
      <c r="E3" s="9" t="n">
        <v>4</v>
      </c>
      <c r="F3" s="9" t="n">
        <v>4</v>
      </c>
      <c r="G3" s="9" t="n">
        <v>3</v>
      </c>
      <c r="H3" s="9" t="n">
        <v>2</v>
      </c>
      <c r="I3" s="9" t="n">
        <v>4</v>
      </c>
      <c r="J3" s="9" t="n">
        <v>4</v>
      </c>
      <c r="K3" s="9" t="n">
        <v>4</v>
      </c>
      <c r="L3" s="9" t="n">
        <v>3</v>
      </c>
      <c r="M3" s="9" t="n">
        <v>2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9" t="n">
        <v>5</v>
      </c>
      <c r="T3" s="9" t="n">
        <v>4</v>
      </c>
      <c r="U3" s="9" t="n">
        <v>4</v>
      </c>
      <c r="V3" s="9" t="n">
        <v>3</v>
      </c>
      <c r="W3" s="9" t="n">
        <v>3</v>
      </c>
      <c r="X3" s="9" t="n">
        <v>1</v>
      </c>
      <c r="Y3" s="9" t="n">
        <v>1</v>
      </c>
      <c r="Z3" s="9" t="n">
        <v>1</v>
      </c>
      <c r="AA3" s="9" t="n">
        <v>1</v>
      </c>
      <c r="AB3" s="9" t="n">
        <v>1</v>
      </c>
      <c r="AC3" s="9" t="n">
        <v>1</v>
      </c>
      <c r="AD3" s="9" t="n">
        <v>1</v>
      </c>
      <c r="AE3" s="9" t="n">
        <v>1</v>
      </c>
      <c r="AF3" s="9" t="n">
        <v>1</v>
      </c>
      <c r="AG3" s="9" t="n">
        <v>1</v>
      </c>
      <c r="AH3" s="9" t="n">
        <v>1</v>
      </c>
      <c r="AI3" s="9" t="n">
        <v>1</v>
      </c>
      <c r="AJ3" s="9" t="n">
        <v>1</v>
      </c>
      <c r="AK3" s="9" t="n">
        <v>1</v>
      </c>
      <c r="AL3" s="9" t="n">
        <v>1</v>
      </c>
      <c r="AM3" s="9" t="n">
        <v>1</v>
      </c>
      <c r="AN3" s="9" t="n">
        <v>1</v>
      </c>
      <c r="AO3" s="9" t="n">
        <v>1</v>
      </c>
      <c r="AP3" s="9" t="n">
        <v>1</v>
      </c>
      <c r="AQ3" s="9" t="n">
        <v>1</v>
      </c>
      <c r="AR3" s="9" t="n">
        <v>2</v>
      </c>
      <c r="AS3" s="9" t="n">
        <v>2</v>
      </c>
      <c r="AT3" s="9" t="n">
        <v>3</v>
      </c>
      <c r="AU3" s="9" t="n">
        <v>2</v>
      </c>
      <c r="AV3" s="9" t="n">
        <v>1</v>
      </c>
      <c r="AW3" s="9" t="n">
        <v>1</v>
      </c>
      <c r="AX3" s="9" t="n">
        <v>1</v>
      </c>
      <c r="AY3" s="9" t="n">
        <v>1</v>
      </c>
      <c r="AZ3" s="9" t="n">
        <v>1</v>
      </c>
      <c r="BA3" s="9" t="n">
        <v>1</v>
      </c>
    </row>
    <row r="4">
      <c r="A4" s="9" t="n">
        <v>3</v>
      </c>
      <c r="B4" s="9" t="inlineStr">
        <is>
          <t>מורן זר קצנשטיין</t>
        </is>
      </c>
      <c r="C4" s="9" t="n">
        <v>4.5</v>
      </c>
      <c r="D4" s="9" t="n">
        <v>3</v>
      </c>
      <c r="E4" s="9" t="n">
        <v>3</v>
      </c>
      <c r="F4" s="9" t="n">
        <v>4</v>
      </c>
      <c r="G4" s="9" t="n">
        <v>3</v>
      </c>
      <c r="H4" s="9" t="n">
        <v>2</v>
      </c>
      <c r="I4" s="9" t="n">
        <v>5</v>
      </c>
      <c r="J4" s="9" t="n">
        <v>4</v>
      </c>
      <c r="K4" s="9" t="n">
        <v>5</v>
      </c>
      <c r="L4" s="9" t="n">
        <v>3</v>
      </c>
      <c r="M4" s="9" t="n">
        <v>3</v>
      </c>
      <c r="N4" s="9" t="n">
        <v>4</v>
      </c>
      <c r="O4" s="9" t="n">
        <v>2</v>
      </c>
      <c r="P4" s="9" t="n">
        <v>1</v>
      </c>
      <c r="Q4" s="9" t="n">
        <v>1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1</v>
      </c>
      <c r="Y4" s="9" t="n">
        <v>1</v>
      </c>
      <c r="Z4" s="9" t="n">
        <v>1</v>
      </c>
      <c r="AA4" s="9" t="n">
        <v>1</v>
      </c>
      <c r="AB4" s="9" t="n">
        <v>1</v>
      </c>
      <c r="AC4" s="9" t="n">
        <v>1</v>
      </c>
      <c r="AD4" s="9" t="n">
        <v>1</v>
      </c>
      <c r="AE4" s="9" t="n">
        <v>1</v>
      </c>
      <c r="AF4" s="9" t="n">
        <v>1</v>
      </c>
      <c r="AG4" s="9" t="n">
        <v>1</v>
      </c>
      <c r="AH4" s="9" t="n">
        <v>1</v>
      </c>
      <c r="AI4" s="9" t="n">
        <v>1</v>
      </c>
      <c r="AJ4" s="9" t="n">
        <v>1</v>
      </c>
      <c r="AK4" s="9" t="n">
        <v>1</v>
      </c>
      <c r="AL4" s="9" t="n">
        <v>1</v>
      </c>
      <c r="AM4" s="9" t="n">
        <v>1</v>
      </c>
      <c r="AN4" s="9" t="n">
        <v>1</v>
      </c>
      <c r="AO4" s="9" t="n">
        <v>1</v>
      </c>
      <c r="AP4" s="9" t="n">
        <v>1</v>
      </c>
      <c r="AQ4" s="9" t="n">
        <v>1</v>
      </c>
      <c r="AR4" s="9" t="n">
        <v>1</v>
      </c>
      <c r="AS4" s="9" t="n">
        <v>1</v>
      </c>
      <c r="AT4" s="9" t="n">
        <v>1</v>
      </c>
      <c r="AU4" s="9" t="n">
        <v>1</v>
      </c>
      <c r="AV4" s="9" t="n">
        <v>1</v>
      </c>
      <c r="AW4" s="9" t="n">
        <v>5</v>
      </c>
      <c r="AX4" s="9" t="n">
        <v>5</v>
      </c>
      <c r="AY4" s="9" t="n">
        <v>5</v>
      </c>
      <c r="AZ4" s="9" t="n">
        <v>4</v>
      </c>
      <c r="BA4" s="9" t="n">
        <v>3</v>
      </c>
    </row>
    <row r="5">
      <c r="A5" s="9" t="n">
        <v>4</v>
      </c>
      <c r="B5" s="9" t="inlineStr">
        <is>
          <t>יעל כהן־פארן</t>
        </is>
      </c>
      <c r="C5" s="9" t="n">
        <v>4.5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2</v>
      </c>
      <c r="O5" s="9" t="n">
        <v>2</v>
      </c>
      <c r="P5" s="9" t="n">
        <v>3</v>
      </c>
      <c r="Q5" s="9" t="n">
        <v>2</v>
      </c>
      <c r="R5" s="9" t="n">
        <v>1</v>
      </c>
      <c r="S5" s="9" t="n">
        <v>1</v>
      </c>
      <c r="T5" s="9" t="n">
        <v>1</v>
      </c>
      <c r="U5" s="9" t="n">
        <v>1</v>
      </c>
      <c r="V5" s="9" t="n">
        <v>1</v>
      </c>
      <c r="W5" s="9" t="n">
        <v>1</v>
      </c>
      <c r="X5" s="9" t="n">
        <v>1</v>
      </c>
      <c r="Y5" s="9" t="n">
        <v>1</v>
      </c>
      <c r="Z5" s="9" t="n">
        <v>1</v>
      </c>
      <c r="AA5" s="9" t="n">
        <v>1</v>
      </c>
      <c r="AB5" s="9" t="n">
        <v>1</v>
      </c>
      <c r="AC5" s="9" t="n">
        <v>3</v>
      </c>
      <c r="AD5" s="9" t="n">
        <v>2</v>
      </c>
      <c r="AE5" s="9" t="n">
        <v>3</v>
      </c>
      <c r="AF5" s="9" t="n">
        <v>3</v>
      </c>
      <c r="AG5" s="9" t="n">
        <v>2</v>
      </c>
      <c r="AH5" s="9" t="n">
        <v>1</v>
      </c>
      <c r="AI5" s="9" t="n">
        <v>1</v>
      </c>
      <c r="AJ5" s="9" t="n">
        <v>1</v>
      </c>
      <c r="AK5" s="9" t="n">
        <v>1</v>
      </c>
      <c r="AL5" s="9" t="n">
        <v>1</v>
      </c>
      <c r="AM5" s="9" t="n">
        <v>5</v>
      </c>
      <c r="AN5" s="9" t="n">
        <v>4</v>
      </c>
      <c r="AO5" s="9" t="n">
        <v>5</v>
      </c>
      <c r="AP5" s="9" t="n">
        <v>4</v>
      </c>
      <c r="AQ5" s="9" t="n">
        <v>3</v>
      </c>
      <c r="AR5" s="9" t="n">
        <v>1</v>
      </c>
      <c r="AS5" s="9" t="n">
        <v>1</v>
      </c>
      <c r="AT5" s="9" t="n">
        <v>1</v>
      </c>
      <c r="AU5" s="9" t="n">
        <v>1</v>
      </c>
      <c r="AV5" s="9" t="n">
        <v>1</v>
      </c>
      <c r="AW5" s="9" t="n">
        <v>1</v>
      </c>
      <c r="AX5" s="9" t="n">
        <v>1</v>
      </c>
      <c r="AY5" s="9" t="n">
        <v>1</v>
      </c>
      <c r="AZ5" s="9" t="n">
        <v>1</v>
      </c>
      <c r="BA5" s="9" t="n">
        <v>1</v>
      </c>
    </row>
    <row r="6">
      <c r="A6" s="9" t="n">
        <v>5</v>
      </c>
      <c r="B6" s="9" t="inlineStr">
        <is>
          <t>לי הופמן אגיב</t>
        </is>
      </c>
      <c r="C6" s="9" t="n">
        <v>3.5</v>
      </c>
      <c r="D6" s="9" t="n">
        <v>3</v>
      </c>
      <c r="E6" s="9" t="n">
        <v>2</v>
      </c>
      <c r="F6" s="9" t="n">
        <v>3</v>
      </c>
      <c r="G6" s="9" t="n">
        <v>2</v>
      </c>
      <c r="H6" s="9" t="n">
        <v>1</v>
      </c>
      <c r="I6" s="9" t="n">
        <v>4</v>
      </c>
      <c r="J6" s="9" t="n">
        <v>3</v>
      </c>
      <c r="K6" s="9" t="n">
        <v>4</v>
      </c>
      <c r="L6" s="9" t="n">
        <v>2</v>
      </c>
      <c r="M6" s="9" t="n">
        <v>2</v>
      </c>
      <c r="N6" s="9" t="n">
        <v>1</v>
      </c>
      <c r="O6" s="9" t="n">
        <v>1</v>
      </c>
      <c r="P6" s="9" t="n">
        <v>1</v>
      </c>
      <c r="Q6" s="9" t="n">
        <v>1</v>
      </c>
      <c r="R6" s="9" t="n">
        <v>1</v>
      </c>
      <c r="S6" s="9" t="n">
        <v>1</v>
      </c>
      <c r="T6" s="9" t="n">
        <v>1</v>
      </c>
      <c r="U6" s="9" t="n">
        <v>1</v>
      </c>
      <c r="V6" s="9" t="n">
        <v>1</v>
      </c>
      <c r="W6" s="9" t="n">
        <v>1</v>
      </c>
      <c r="X6" s="9" t="n">
        <v>1</v>
      </c>
      <c r="Y6" s="9" t="n">
        <v>1</v>
      </c>
      <c r="Z6" s="9" t="n">
        <v>1</v>
      </c>
      <c r="AA6" s="9" t="n">
        <v>1</v>
      </c>
      <c r="AB6" s="9" t="n">
        <v>1</v>
      </c>
      <c r="AC6" s="9" t="n">
        <v>1</v>
      </c>
      <c r="AD6" s="9" t="n">
        <v>1</v>
      </c>
      <c r="AE6" s="9" t="n">
        <v>1</v>
      </c>
      <c r="AF6" s="9" t="n">
        <v>1</v>
      </c>
      <c r="AG6" s="9" t="n">
        <v>1</v>
      </c>
      <c r="AH6" s="9" t="n">
        <v>1</v>
      </c>
      <c r="AI6" s="9" t="n">
        <v>1</v>
      </c>
      <c r="AJ6" s="9" t="n">
        <v>1</v>
      </c>
      <c r="AK6" s="9" t="n">
        <v>1</v>
      </c>
      <c r="AL6" s="9" t="n">
        <v>1</v>
      </c>
      <c r="AM6" s="9" t="n">
        <v>1</v>
      </c>
      <c r="AN6" s="9" t="n">
        <v>1</v>
      </c>
      <c r="AO6" s="9" t="n">
        <v>1</v>
      </c>
      <c r="AP6" s="9" t="n">
        <v>1</v>
      </c>
      <c r="AQ6" s="9" t="n">
        <v>1</v>
      </c>
      <c r="AR6" s="9" t="n">
        <v>1</v>
      </c>
      <c r="AS6" s="9" t="n">
        <v>1</v>
      </c>
      <c r="AT6" s="9" t="n">
        <v>1</v>
      </c>
      <c r="AU6" s="9" t="n">
        <v>1</v>
      </c>
      <c r="AV6" s="9" t="n">
        <v>1</v>
      </c>
      <c r="AW6" s="9" t="n">
        <v>4</v>
      </c>
      <c r="AX6" s="9" t="n">
        <v>2</v>
      </c>
      <c r="AY6" s="9" t="n">
        <v>4</v>
      </c>
      <c r="AZ6" s="9" t="n">
        <v>3</v>
      </c>
      <c r="BA6" s="9" t="n">
        <v>2</v>
      </c>
    </row>
    <row r="7">
      <c r="A7" s="9" t="n">
        <v>6</v>
      </c>
      <c r="B7" s="9" t="inlineStr">
        <is>
          <t>רם שפע</t>
        </is>
      </c>
      <c r="C7" s="9" t="n">
        <v>5</v>
      </c>
      <c r="D7" s="9" t="n">
        <v>4</v>
      </c>
      <c r="E7" s="9" t="n">
        <v>4</v>
      </c>
      <c r="F7" s="9" t="n">
        <v>5</v>
      </c>
      <c r="G7" s="9" t="n">
        <v>4</v>
      </c>
      <c r="H7" s="9" t="n">
        <v>4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1</v>
      </c>
      <c r="N7" s="9" t="n">
        <v>1</v>
      </c>
      <c r="O7" s="9" t="n">
        <v>1</v>
      </c>
      <c r="P7" s="9" t="n">
        <v>1</v>
      </c>
      <c r="Q7" s="9" t="n">
        <v>1</v>
      </c>
      <c r="R7" s="9" t="n">
        <v>1</v>
      </c>
      <c r="S7" s="9" t="n">
        <v>1</v>
      </c>
      <c r="T7" s="9" t="n">
        <v>1</v>
      </c>
      <c r="U7" s="9" t="n">
        <v>1</v>
      </c>
      <c r="V7" s="9" t="n">
        <v>1</v>
      </c>
      <c r="W7" s="9" t="n">
        <v>1</v>
      </c>
      <c r="X7" s="9" t="n">
        <v>1</v>
      </c>
      <c r="Y7" s="9" t="n">
        <v>1</v>
      </c>
      <c r="Z7" s="9" t="n">
        <v>1</v>
      </c>
      <c r="AA7" s="9" t="n">
        <v>1</v>
      </c>
      <c r="AB7" s="9" t="n">
        <v>1</v>
      </c>
      <c r="AC7" s="9" t="n">
        <v>3</v>
      </c>
      <c r="AD7" s="9" t="n">
        <v>2</v>
      </c>
      <c r="AE7" s="9" t="n">
        <v>3</v>
      </c>
      <c r="AF7" s="9" t="n">
        <v>3</v>
      </c>
      <c r="AG7" s="9" t="n">
        <v>2</v>
      </c>
      <c r="AH7" s="9" t="n">
        <v>5</v>
      </c>
      <c r="AI7" s="9" t="n">
        <v>4</v>
      </c>
      <c r="AJ7" s="9" t="n">
        <v>5</v>
      </c>
      <c r="AK7" s="9" t="n">
        <v>4</v>
      </c>
      <c r="AL7" s="9" t="n">
        <v>3</v>
      </c>
      <c r="AM7" s="9" t="n">
        <v>1</v>
      </c>
      <c r="AN7" s="9" t="n">
        <v>1</v>
      </c>
      <c r="AO7" s="9" t="n">
        <v>1</v>
      </c>
      <c r="AP7" s="9" t="n">
        <v>1</v>
      </c>
      <c r="AQ7" s="9" t="n">
        <v>1</v>
      </c>
      <c r="AR7" s="9" t="n">
        <v>1</v>
      </c>
      <c r="AS7" s="9" t="n">
        <v>1</v>
      </c>
      <c r="AT7" s="9" t="n">
        <v>1</v>
      </c>
      <c r="AU7" s="9" t="n">
        <v>1</v>
      </c>
      <c r="AV7" s="9" t="n">
        <v>1</v>
      </c>
      <c r="AW7" s="9" t="n">
        <v>1</v>
      </c>
      <c r="AX7" s="9" t="n">
        <v>1</v>
      </c>
      <c r="AY7" s="9" t="n">
        <v>1</v>
      </c>
      <c r="AZ7" s="9" t="n">
        <v>1</v>
      </c>
      <c r="BA7" s="9" t="n">
        <v>1</v>
      </c>
    </row>
    <row r="8">
      <c r="A8" s="9" t="n">
        <v>7</v>
      </c>
      <c r="B8" s="9" t="inlineStr">
        <is>
          <t>יריב אופנהיימר</t>
        </is>
      </c>
      <c r="C8" s="9" t="n">
        <v>4</v>
      </c>
      <c r="D8" s="9" t="n">
        <v>1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4</v>
      </c>
      <c r="J8" s="9" t="n">
        <v>4</v>
      </c>
      <c r="K8" s="9" t="n">
        <v>4</v>
      </c>
      <c r="L8" s="9" t="n">
        <v>2</v>
      </c>
      <c r="M8" s="9" t="n">
        <v>2</v>
      </c>
      <c r="N8" s="9" t="n">
        <v>1</v>
      </c>
      <c r="O8" s="9" t="n">
        <v>1</v>
      </c>
      <c r="P8" s="9" t="n">
        <v>1</v>
      </c>
      <c r="Q8" s="9" t="n">
        <v>1</v>
      </c>
      <c r="R8" s="9" t="n">
        <v>1</v>
      </c>
      <c r="S8" s="9" t="n">
        <v>5</v>
      </c>
      <c r="T8" s="9" t="n">
        <v>5</v>
      </c>
      <c r="U8" s="9" t="n">
        <v>5</v>
      </c>
      <c r="V8" s="9" t="n">
        <v>3</v>
      </c>
      <c r="W8" s="9" t="n">
        <v>3</v>
      </c>
      <c r="X8" s="9" t="n">
        <v>3</v>
      </c>
      <c r="Y8" s="9" t="n">
        <v>4</v>
      </c>
      <c r="Z8" s="9" t="n">
        <v>4</v>
      </c>
      <c r="AA8" s="9" t="n">
        <v>2</v>
      </c>
      <c r="AB8" s="9" t="n">
        <v>2</v>
      </c>
      <c r="AC8" s="9" t="n">
        <v>1</v>
      </c>
      <c r="AD8" s="9" t="n">
        <v>1</v>
      </c>
      <c r="AE8" s="9" t="n">
        <v>1</v>
      </c>
      <c r="AF8" s="9" t="n">
        <v>1</v>
      </c>
      <c r="AG8" s="9" t="n">
        <v>1</v>
      </c>
      <c r="AH8" s="9" t="n">
        <v>1</v>
      </c>
      <c r="AI8" s="9" t="n">
        <v>1</v>
      </c>
      <c r="AJ8" s="9" t="n">
        <v>1</v>
      </c>
      <c r="AK8" s="9" t="n">
        <v>1</v>
      </c>
      <c r="AL8" s="9" t="n">
        <v>1</v>
      </c>
      <c r="AM8" s="9" t="n">
        <v>1</v>
      </c>
      <c r="AN8" s="9" t="n">
        <v>1</v>
      </c>
      <c r="AO8" s="9" t="n">
        <v>1</v>
      </c>
      <c r="AP8" s="9" t="n">
        <v>1</v>
      </c>
      <c r="AQ8" s="9" t="n">
        <v>1</v>
      </c>
      <c r="AR8" s="9" t="n">
        <v>1</v>
      </c>
      <c r="AS8" s="9" t="n">
        <v>1</v>
      </c>
      <c r="AT8" s="9" t="n">
        <v>1</v>
      </c>
      <c r="AU8" s="9" t="n">
        <v>1</v>
      </c>
      <c r="AV8" s="9" t="n">
        <v>1</v>
      </c>
      <c r="AW8" s="9" t="n">
        <v>1</v>
      </c>
      <c r="AX8" s="9" t="n">
        <v>1</v>
      </c>
      <c r="AY8" s="9" t="n">
        <v>1</v>
      </c>
      <c r="AZ8" s="9" t="n">
        <v>1</v>
      </c>
      <c r="BA8" s="9" t="n">
        <v>1</v>
      </c>
    </row>
    <row r="9">
      <c r="A9" s="9" t="n">
        <v>8</v>
      </c>
      <c r="B9" s="9" t="inlineStr">
        <is>
          <t>אוליביה עמנואל דה לם</t>
        </is>
      </c>
      <c r="C9" s="9" t="n">
        <v>2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1</v>
      </c>
      <c r="M9" s="9" t="n">
        <v>1</v>
      </c>
      <c r="N9" s="9" t="n">
        <v>1</v>
      </c>
      <c r="O9" s="9" t="n">
        <v>1</v>
      </c>
      <c r="P9" s="9" t="n">
        <v>1</v>
      </c>
      <c r="Q9" s="9" t="n">
        <v>1</v>
      </c>
      <c r="R9" s="9" t="n">
        <v>1</v>
      </c>
      <c r="S9" s="9" t="n">
        <v>1</v>
      </c>
      <c r="T9" s="9" t="n">
        <v>1</v>
      </c>
      <c r="U9" s="9" t="n">
        <v>1</v>
      </c>
      <c r="V9" s="9" t="n">
        <v>1</v>
      </c>
      <c r="W9" s="9" t="n">
        <v>1</v>
      </c>
      <c r="X9" s="9" t="n">
        <v>1</v>
      </c>
      <c r="Y9" s="9" t="n">
        <v>1</v>
      </c>
      <c r="Z9" s="9" t="n">
        <v>1</v>
      </c>
      <c r="AA9" s="9" t="n">
        <v>1</v>
      </c>
      <c r="AB9" s="9" t="n">
        <v>1</v>
      </c>
      <c r="AC9" s="9" t="n">
        <v>1</v>
      </c>
      <c r="AD9" s="9" t="n">
        <v>1</v>
      </c>
      <c r="AE9" s="9" t="n">
        <v>1</v>
      </c>
      <c r="AF9" s="9" t="n">
        <v>1</v>
      </c>
      <c r="AG9" s="9" t="n">
        <v>1</v>
      </c>
      <c r="AH9" s="9" t="n">
        <v>1</v>
      </c>
      <c r="AI9" s="9" t="n">
        <v>1</v>
      </c>
      <c r="AJ9" s="9" t="n">
        <v>1</v>
      </c>
      <c r="AK9" s="9" t="n">
        <v>1</v>
      </c>
      <c r="AL9" s="9" t="n">
        <v>1</v>
      </c>
      <c r="AM9" s="9" t="n">
        <v>1</v>
      </c>
      <c r="AN9" s="9" t="n">
        <v>1</v>
      </c>
      <c r="AO9" s="9" t="n">
        <v>1</v>
      </c>
      <c r="AP9" s="9" t="n">
        <v>1</v>
      </c>
      <c r="AQ9" s="9" t="n">
        <v>1</v>
      </c>
      <c r="AR9" s="9" t="n">
        <v>1</v>
      </c>
      <c r="AS9" s="9" t="n">
        <v>1</v>
      </c>
      <c r="AT9" s="9" t="n">
        <v>1</v>
      </c>
      <c r="AU9" s="9" t="n">
        <v>1</v>
      </c>
      <c r="AV9" s="9" t="n">
        <v>1</v>
      </c>
      <c r="AW9" s="9" t="n">
        <v>1</v>
      </c>
      <c r="AX9" s="9" t="n">
        <v>1</v>
      </c>
      <c r="AY9" s="9" t="n">
        <v>1</v>
      </c>
      <c r="AZ9" s="9" t="n">
        <v>1</v>
      </c>
      <c r="BA9" s="9" t="n">
        <v>1</v>
      </c>
    </row>
    <row r="10">
      <c r="A10" s="9" t="n">
        <v>9</v>
      </c>
      <c r="B10" s="9" t="inlineStr">
        <is>
          <t>נאור נרקיס</t>
        </is>
      </c>
      <c r="C10" s="9" t="n">
        <v>4.5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3</v>
      </c>
      <c r="J10" s="9" t="n">
        <v>3</v>
      </c>
      <c r="K10" s="9" t="n">
        <v>2</v>
      </c>
      <c r="L10" s="9" t="n">
        <v>2</v>
      </c>
      <c r="M10" s="9" t="n">
        <v>2</v>
      </c>
      <c r="N10" s="9" t="n">
        <v>5</v>
      </c>
      <c r="O10" s="9" t="n">
        <v>5</v>
      </c>
      <c r="P10" s="9" t="n">
        <v>5</v>
      </c>
      <c r="Q10" s="9" t="n">
        <v>5</v>
      </c>
      <c r="R10" s="9" t="n">
        <v>2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9" t="n">
        <v>1</v>
      </c>
      <c r="AC10" s="9" t="n">
        <v>1</v>
      </c>
      <c r="AD10" s="9" t="n">
        <v>1</v>
      </c>
      <c r="AE10" s="9" t="n">
        <v>1</v>
      </c>
      <c r="AF10" s="9" t="n">
        <v>1</v>
      </c>
      <c r="AG10" s="9" t="n">
        <v>1</v>
      </c>
      <c r="AH10" s="9" t="n">
        <v>1</v>
      </c>
      <c r="AI10" s="9" t="n">
        <v>1</v>
      </c>
      <c r="AJ10" s="9" t="n">
        <v>1</v>
      </c>
      <c r="AK10" s="9" t="n">
        <v>1</v>
      </c>
      <c r="AL10" s="9" t="n">
        <v>1</v>
      </c>
      <c r="AM10" s="9" t="n">
        <v>1</v>
      </c>
      <c r="AN10" s="9" t="n">
        <v>1</v>
      </c>
      <c r="AO10" s="9" t="n">
        <v>1</v>
      </c>
      <c r="AP10" s="9" t="n">
        <v>1</v>
      </c>
      <c r="AQ10" s="9" t="n">
        <v>1</v>
      </c>
      <c r="AR10" s="9" t="n">
        <v>1</v>
      </c>
      <c r="AS10" s="9" t="n">
        <v>1</v>
      </c>
      <c r="AT10" s="9" t="n">
        <v>1</v>
      </c>
      <c r="AU10" s="9" t="n">
        <v>1</v>
      </c>
      <c r="AV10" s="9" t="n">
        <v>1</v>
      </c>
      <c r="AW10" s="9" t="n">
        <v>1</v>
      </c>
      <c r="AX10" s="9" t="n">
        <v>1</v>
      </c>
      <c r="AY10" s="9" t="n">
        <v>1</v>
      </c>
      <c r="AZ10" s="9" t="n">
        <v>1</v>
      </c>
      <c r="BA10" s="9" t="n">
        <v>1</v>
      </c>
    </row>
    <row r="11">
      <c r="A11" s="9" t="n">
        <v>10</v>
      </c>
      <c r="B11" s="9" t="inlineStr">
        <is>
          <t>מהרטה ברוך־רון</t>
        </is>
      </c>
      <c r="C11" s="9" t="n">
        <v>4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1</v>
      </c>
      <c r="P11" s="9" t="n">
        <v>1</v>
      </c>
      <c r="Q11" s="9" t="n">
        <v>1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5</v>
      </c>
      <c r="Y11" s="9" t="n">
        <v>3</v>
      </c>
      <c r="Z11" s="9" t="n">
        <v>4</v>
      </c>
      <c r="AA11" s="9" t="n">
        <v>3</v>
      </c>
      <c r="AB11" s="9" t="n">
        <v>2</v>
      </c>
      <c r="AC11" s="9" t="n">
        <v>1</v>
      </c>
      <c r="AD11" s="9" t="n">
        <v>1</v>
      </c>
      <c r="AE11" s="9" t="n">
        <v>1</v>
      </c>
      <c r="AF11" s="9" t="n">
        <v>1</v>
      </c>
      <c r="AG11" s="9" t="n">
        <v>1</v>
      </c>
      <c r="AH11" s="9" t="n">
        <v>1</v>
      </c>
      <c r="AI11" s="9" t="n">
        <v>1</v>
      </c>
      <c r="AJ11" s="9" t="n">
        <v>1</v>
      </c>
      <c r="AK11" s="9" t="n">
        <v>1</v>
      </c>
      <c r="AL11" s="9" t="n">
        <v>1</v>
      </c>
      <c r="AM11" s="9" t="n">
        <v>1</v>
      </c>
      <c r="AN11" s="9" t="n">
        <v>1</v>
      </c>
      <c r="AO11" s="9" t="n">
        <v>1</v>
      </c>
      <c r="AP11" s="9" t="n">
        <v>1</v>
      </c>
      <c r="AQ11" s="9" t="n">
        <v>1</v>
      </c>
      <c r="AR11" s="9" t="n">
        <v>1</v>
      </c>
      <c r="AS11" s="9" t="n">
        <v>1</v>
      </c>
      <c r="AT11" s="9" t="n">
        <v>1</v>
      </c>
      <c r="AU11" s="9" t="n">
        <v>1</v>
      </c>
      <c r="AV11" s="9" t="n">
        <v>1</v>
      </c>
      <c r="AW11" s="9" t="n">
        <v>4</v>
      </c>
      <c r="AX11" s="9" t="n">
        <v>2</v>
      </c>
      <c r="AY11" s="9" t="n">
        <v>3</v>
      </c>
      <c r="AZ11" s="9" t="n">
        <v>3</v>
      </c>
      <c r="BA11" s="9" t="n">
        <v>2</v>
      </c>
    </row>
    <row r="12">
      <c r="A12" s="9" t="n">
        <v>11</v>
      </c>
      <c r="B12" s="9" t="inlineStr">
        <is>
          <t>עמרי רונן</t>
        </is>
      </c>
      <c r="C12" s="9" t="n">
        <v>4</v>
      </c>
      <c r="D12" s="9" t="n">
        <v>3</v>
      </c>
      <c r="E12" s="9" t="n">
        <v>2</v>
      </c>
      <c r="F12" s="9" t="n">
        <v>4</v>
      </c>
      <c r="G12" s="9" t="n">
        <v>3</v>
      </c>
      <c r="H12" s="9" t="n">
        <v>1</v>
      </c>
      <c r="I12" s="9" t="n">
        <v>4</v>
      </c>
      <c r="J12" s="9" t="n">
        <v>3</v>
      </c>
      <c r="K12" s="9" t="n">
        <v>4</v>
      </c>
      <c r="L12" s="9" t="n">
        <v>2</v>
      </c>
      <c r="M12" s="9" t="n">
        <v>2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3</v>
      </c>
      <c r="Y12" s="9" t="n">
        <v>1</v>
      </c>
      <c r="Z12" s="9" t="n">
        <v>2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  <c r="AI12" s="9" t="n">
        <v>1</v>
      </c>
      <c r="AJ12" s="9" t="n">
        <v>1</v>
      </c>
      <c r="AK12" s="9" t="n">
        <v>1</v>
      </c>
      <c r="AL12" s="9" t="n">
        <v>1</v>
      </c>
      <c r="AM12" s="9" t="n">
        <v>1</v>
      </c>
      <c r="AN12" s="9" t="n">
        <v>1</v>
      </c>
      <c r="AO12" s="9" t="n">
        <v>1</v>
      </c>
      <c r="AP12" s="9" t="n">
        <v>1</v>
      </c>
      <c r="AQ12" s="9" t="n">
        <v>1</v>
      </c>
      <c r="AR12" s="9" t="n">
        <v>1</v>
      </c>
      <c r="AS12" s="9" t="n">
        <v>1</v>
      </c>
      <c r="AT12" s="9" t="n">
        <v>1</v>
      </c>
      <c r="AU12" s="9" t="n">
        <v>1</v>
      </c>
      <c r="AV12" s="9" t="n">
        <v>1</v>
      </c>
      <c r="AW12" s="9" t="n">
        <v>1</v>
      </c>
      <c r="AX12" s="9" t="n">
        <v>1</v>
      </c>
      <c r="AY12" s="9" t="n">
        <v>1</v>
      </c>
      <c r="AZ12" s="9" t="n">
        <v>1</v>
      </c>
      <c r="BA12" s="9" t="n">
        <v>1</v>
      </c>
    </row>
    <row r="13">
      <c r="A13" s="9" t="n">
        <v>12</v>
      </c>
      <c r="B13" s="9" t="inlineStr">
        <is>
          <t>ירון ניב</t>
        </is>
      </c>
      <c r="C13" s="9" t="n">
        <v>4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9" t="n">
        <v>1</v>
      </c>
      <c r="M13" s="9" t="n">
        <v>1</v>
      </c>
      <c r="N13" s="9" t="n">
        <v>1</v>
      </c>
      <c r="O13" s="9" t="n">
        <v>1</v>
      </c>
      <c r="P13" s="9" t="n">
        <v>1</v>
      </c>
      <c r="Q13" s="9" t="n">
        <v>1</v>
      </c>
      <c r="R13" s="9" t="n">
        <v>1</v>
      </c>
      <c r="S13" s="9" t="n">
        <v>1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1</v>
      </c>
      <c r="Y13" s="9" t="n">
        <v>1</v>
      </c>
      <c r="Z13" s="9" t="n">
        <v>1</v>
      </c>
      <c r="AA13" s="9" t="n">
        <v>1</v>
      </c>
      <c r="AB13" s="9" t="n">
        <v>1</v>
      </c>
      <c r="AC13" s="9" t="n">
        <v>1</v>
      </c>
      <c r="AD13" s="9" t="n">
        <v>1</v>
      </c>
      <c r="AE13" s="9" t="n">
        <v>1</v>
      </c>
      <c r="AF13" s="9" t="n">
        <v>1</v>
      </c>
      <c r="AG13" s="9" t="n">
        <v>1</v>
      </c>
      <c r="AH13" s="9" t="n">
        <v>5</v>
      </c>
      <c r="AI13" s="9" t="n">
        <v>3</v>
      </c>
      <c r="AJ13" s="9" t="n">
        <v>4</v>
      </c>
      <c r="AK13" s="9" t="n">
        <v>4</v>
      </c>
      <c r="AL13" s="9" t="n">
        <v>3</v>
      </c>
      <c r="AM13" s="9" t="n">
        <v>1</v>
      </c>
      <c r="AN13" s="9" t="n">
        <v>1</v>
      </c>
      <c r="AO13" s="9" t="n">
        <v>1</v>
      </c>
      <c r="AP13" s="9" t="n">
        <v>1</v>
      </c>
      <c r="AQ13" s="9" t="n">
        <v>1</v>
      </c>
      <c r="AR13" s="9" t="n">
        <v>1</v>
      </c>
      <c r="AS13" s="9" t="n">
        <v>1</v>
      </c>
      <c r="AT13" s="9" t="n">
        <v>1</v>
      </c>
      <c r="AU13" s="9" t="n">
        <v>1</v>
      </c>
      <c r="AV13" s="9" t="n">
        <v>1</v>
      </c>
      <c r="AW13" s="9" t="n">
        <v>1</v>
      </c>
      <c r="AX13" s="9" t="n">
        <v>1</v>
      </c>
      <c r="AY13" s="9" t="n">
        <v>1</v>
      </c>
      <c r="AZ13" s="9" t="n">
        <v>1</v>
      </c>
      <c r="BA13" s="9" t="n">
        <v>1</v>
      </c>
    </row>
    <row r="14">
      <c r="A14" s="9" t="n">
        <v>13</v>
      </c>
      <c r="B14" s="9" t="inlineStr">
        <is>
          <t>רתם סיון</t>
        </is>
      </c>
      <c r="C14" s="9" t="n">
        <v>4</v>
      </c>
      <c r="D14" s="9" t="n">
        <v>4</v>
      </c>
      <c r="E14" s="9" t="n">
        <v>3</v>
      </c>
      <c r="F14" s="9" t="n">
        <v>4</v>
      </c>
      <c r="G14" s="9" t="n">
        <v>4</v>
      </c>
      <c r="H14" s="9" t="n">
        <v>2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1</v>
      </c>
      <c r="N14" s="9" t="n">
        <v>4</v>
      </c>
      <c r="O14" s="9" t="n">
        <v>4</v>
      </c>
      <c r="P14" s="9" t="n">
        <v>3</v>
      </c>
      <c r="Q14" s="9" t="n">
        <v>3</v>
      </c>
      <c r="R14" s="9" t="n">
        <v>2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1</v>
      </c>
      <c r="X14" s="9" t="n">
        <v>1</v>
      </c>
      <c r="Y14" s="9" t="n">
        <v>1</v>
      </c>
      <c r="Z14" s="9" t="n">
        <v>1</v>
      </c>
      <c r="AA14" s="9" t="n">
        <v>1</v>
      </c>
      <c r="AB14" s="9" t="n">
        <v>1</v>
      </c>
      <c r="AC14" s="9" t="n">
        <v>1</v>
      </c>
      <c r="AD14" s="9" t="n">
        <v>1</v>
      </c>
      <c r="AE14" s="9" t="n">
        <v>1</v>
      </c>
      <c r="AF14" s="9" t="n">
        <v>1</v>
      </c>
      <c r="AG14" s="9" t="n">
        <v>1</v>
      </c>
      <c r="AH14" s="9" t="n">
        <v>5</v>
      </c>
      <c r="AI14" s="9" t="n">
        <v>4</v>
      </c>
      <c r="AJ14" s="9" t="n">
        <v>4</v>
      </c>
      <c r="AK14" s="9" t="n">
        <v>4</v>
      </c>
      <c r="AL14" s="9" t="n">
        <v>2</v>
      </c>
      <c r="AM14" s="9" t="n">
        <v>1</v>
      </c>
      <c r="AN14" s="9" t="n">
        <v>1</v>
      </c>
      <c r="AO14" s="9" t="n">
        <v>1</v>
      </c>
      <c r="AP14" s="9" t="n">
        <v>1</v>
      </c>
      <c r="AQ14" s="9" t="n">
        <v>1</v>
      </c>
      <c r="AR14" s="9" t="n">
        <v>1</v>
      </c>
      <c r="AS14" s="9" t="n">
        <v>1</v>
      </c>
      <c r="AT14" s="9" t="n">
        <v>1</v>
      </c>
      <c r="AU14" s="9" t="n">
        <v>1</v>
      </c>
      <c r="AV14" s="9" t="n">
        <v>1</v>
      </c>
      <c r="AW14" s="9" t="n">
        <v>1</v>
      </c>
      <c r="AX14" s="9" t="n">
        <v>1</v>
      </c>
      <c r="AY14" s="9" t="n">
        <v>1</v>
      </c>
      <c r="AZ14" s="9" t="n">
        <v>1</v>
      </c>
      <c r="BA14" s="9" t="n">
        <v>1</v>
      </c>
    </row>
    <row r="15">
      <c r="A15" s="9" t="n">
        <v>14</v>
      </c>
      <c r="B15" s="9" t="inlineStr">
        <is>
          <t>אליס גולדמן</t>
        </is>
      </c>
      <c r="C15" s="9" t="n">
        <v>3.5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>
        <v>1</v>
      </c>
      <c r="N15" s="9" t="n">
        <v>1</v>
      </c>
      <c r="O15" s="9" t="n">
        <v>1</v>
      </c>
      <c r="P15" s="9" t="n">
        <v>1</v>
      </c>
      <c r="Q15" s="9" t="n">
        <v>1</v>
      </c>
      <c r="R15" s="9" t="n">
        <v>1</v>
      </c>
      <c r="S15" s="9" t="n">
        <v>1</v>
      </c>
      <c r="T15" s="9" t="n">
        <v>1</v>
      </c>
      <c r="U15" s="9" t="n">
        <v>1</v>
      </c>
      <c r="V15" s="9" t="n">
        <v>1</v>
      </c>
      <c r="W15" s="9" t="n">
        <v>1</v>
      </c>
      <c r="X15" s="9" t="n">
        <v>1</v>
      </c>
      <c r="Y15" s="9" t="n">
        <v>1</v>
      </c>
      <c r="Z15" s="9" t="n">
        <v>1</v>
      </c>
      <c r="AA15" s="9" t="n">
        <v>1</v>
      </c>
      <c r="AB15" s="9" t="n">
        <v>1</v>
      </c>
      <c r="AC15" s="9" t="n">
        <v>1</v>
      </c>
      <c r="AD15" s="9" t="n">
        <v>1</v>
      </c>
      <c r="AE15" s="9" t="n">
        <v>1</v>
      </c>
      <c r="AF15" s="9" t="n">
        <v>1</v>
      </c>
      <c r="AG15" s="9" t="n">
        <v>1</v>
      </c>
      <c r="AH15" s="9" t="n">
        <v>1</v>
      </c>
      <c r="AI15" s="9" t="n">
        <v>1</v>
      </c>
      <c r="AJ15" s="9" t="n">
        <v>1</v>
      </c>
      <c r="AK15" s="9" t="n">
        <v>1</v>
      </c>
      <c r="AL15" s="9" t="n">
        <v>1</v>
      </c>
      <c r="AM15" s="9" t="n">
        <v>5</v>
      </c>
      <c r="AN15" s="9" t="n">
        <v>2</v>
      </c>
      <c r="AO15" s="9" t="n">
        <v>4</v>
      </c>
      <c r="AP15" s="9" t="n">
        <v>3</v>
      </c>
      <c r="AQ15" s="9" t="n">
        <v>2</v>
      </c>
      <c r="AR15" s="9" t="n">
        <v>3</v>
      </c>
      <c r="AS15" s="9" t="n">
        <v>2</v>
      </c>
      <c r="AT15" s="9" t="n">
        <v>3</v>
      </c>
      <c r="AU15" s="9" t="n">
        <v>2</v>
      </c>
      <c r="AV15" s="9" t="n">
        <v>2</v>
      </c>
      <c r="AW15" s="9" t="n">
        <v>1</v>
      </c>
      <c r="AX15" s="9" t="n">
        <v>1</v>
      </c>
      <c r="AY15" s="9" t="n">
        <v>1</v>
      </c>
      <c r="AZ15" s="9" t="n">
        <v>1</v>
      </c>
      <c r="BA15" s="9" t="n">
        <v>1</v>
      </c>
    </row>
    <row r="16">
      <c r="A16" s="9" t="n">
        <v>15</v>
      </c>
      <c r="B16" s="9" t="inlineStr">
        <is>
          <t>אבי דבוש</t>
        </is>
      </c>
      <c r="C16" s="9" t="n">
        <v>4</v>
      </c>
      <c r="D16" s="9" t="n">
        <v>1</v>
      </c>
      <c r="E16" s="9" t="n">
        <v>1</v>
      </c>
      <c r="F16" s="9" t="n">
        <v>1</v>
      </c>
      <c r="G16" s="9" t="n">
        <v>1</v>
      </c>
      <c r="H16" s="9" t="n">
        <v>1</v>
      </c>
      <c r="I16" s="9" t="n">
        <v>4</v>
      </c>
      <c r="J16" s="9" t="n">
        <v>3</v>
      </c>
      <c r="K16" s="9" t="n">
        <v>3</v>
      </c>
      <c r="L16" s="9" t="n">
        <v>2</v>
      </c>
      <c r="M16" s="9" t="n">
        <v>2</v>
      </c>
      <c r="N16" s="9" t="n">
        <v>3</v>
      </c>
      <c r="O16" s="9" t="n">
        <v>2</v>
      </c>
      <c r="P16" s="9" t="n">
        <v>4</v>
      </c>
      <c r="Q16" s="9" t="n">
        <v>2</v>
      </c>
      <c r="R16" s="9" t="n">
        <v>2</v>
      </c>
      <c r="S16" s="9" t="n">
        <v>4</v>
      </c>
      <c r="T16" s="9" t="n">
        <v>2</v>
      </c>
      <c r="U16" s="9" t="n">
        <v>4</v>
      </c>
      <c r="V16" s="9" t="n">
        <v>2</v>
      </c>
      <c r="W16" s="9" t="n">
        <v>1</v>
      </c>
      <c r="X16" s="9" t="n">
        <v>5</v>
      </c>
      <c r="Y16" s="9" t="n">
        <v>3</v>
      </c>
      <c r="Z16" s="9" t="n">
        <v>4</v>
      </c>
      <c r="AA16" s="9" t="n">
        <v>3</v>
      </c>
      <c r="AB16" s="9" t="n">
        <v>3</v>
      </c>
      <c r="AC16" s="9" t="n">
        <v>1</v>
      </c>
      <c r="AD16" s="9" t="n">
        <v>1</v>
      </c>
      <c r="AE16" s="9" t="n">
        <v>1</v>
      </c>
      <c r="AF16" s="9" t="n">
        <v>1</v>
      </c>
      <c r="AG16" s="9" t="n">
        <v>1</v>
      </c>
      <c r="AH16" s="9" t="n">
        <v>1</v>
      </c>
      <c r="AI16" s="9" t="n">
        <v>1</v>
      </c>
      <c r="AJ16" s="9" t="n">
        <v>1</v>
      </c>
      <c r="AK16" s="9" t="n">
        <v>1</v>
      </c>
      <c r="AL16" s="9" t="n">
        <v>1</v>
      </c>
      <c r="AM16" s="9" t="n">
        <v>3</v>
      </c>
      <c r="AN16" s="9" t="n">
        <v>1</v>
      </c>
      <c r="AO16" s="9" t="n">
        <v>3</v>
      </c>
      <c r="AP16" s="9" t="n">
        <v>3</v>
      </c>
      <c r="AQ16" s="9" t="n">
        <v>1</v>
      </c>
      <c r="AR16" s="9" t="n">
        <v>1</v>
      </c>
      <c r="AS16" s="9" t="n">
        <v>1</v>
      </c>
      <c r="AT16" s="9" t="n">
        <v>1</v>
      </c>
      <c r="AU16" s="9" t="n">
        <v>1</v>
      </c>
      <c r="AV16" s="9" t="n">
        <v>1</v>
      </c>
      <c r="AW16" s="9" t="n">
        <v>1</v>
      </c>
      <c r="AX16" s="9" t="n">
        <v>1</v>
      </c>
      <c r="AY16" s="9" t="n">
        <v>1</v>
      </c>
      <c r="AZ16" s="9" t="n">
        <v>1</v>
      </c>
      <c r="BA16" s="9" t="n">
        <v>1</v>
      </c>
    </row>
    <row r="17">
      <c r="A17" s="9" t="n">
        <v>16</v>
      </c>
      <c r="B17" s="9" t="inlineStr">
        <is>
          <t>דימה שפירא</t>
        </is>
      </c>
      <c r="C17" s="9" t="n">
        <v>2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3</v>
      </c>
      <c r="J17" s="9" t="n">
        <v>1</v>
      </c>
      <c r="K17" s="9" t="n">
        <v>3</v>
      </c>
      <c r="L17" s="9" t="n">
        <v>2</v>
      </c>
      <c r="M17" s="9" t="n">
        <v>2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  <c r="AI17" s="9" t="n">
        <v>1</v>
      </c>
      <c r="AJ17" s="9" t="n">
        <v>1</v>
      </c>
      <c r="AK17" s="9" t="n">
        <v>1</v>
      </c>
      <c r="AL17" s="9" t="n">
        <v>1</v>
      </c>
      <c r="AM17" s="9" t="n">
        <v>1</v>
      </c>
      <c r="AN17" s="9" t="n">
        <v>1</v>
      </c>
      <c r="AO17" s="9" t="n">
        <v>1</v>
      </c>
      <c r="AP17" s="9" t="n">
        <v>1</v>
      </c>
      <c r="AQ17" s="9" t="n">
        <v>1</v>
      </c>
      <c r="AR17" s="9" t="n">
        <v>1</v>
      </c>
      <c r="AS17" s="9" t="n">
        <v>1</v>
      </c>
      <c r="AT17" s="9" t="n">
        <v>1</v>
      </c>
      <c r="AU17" s="9" t="n">
        <v>1</v>
      </c>
      <c r="AV17" s="9" t="n">
        <v>1</v>
      </c>
      <c r="AW17" s="9" t="n">
        <v>1</v>
      </c>
      <c r="AX17" s="9" t="n">
        <v>1</v>
      </c>
      <c r="AY17" s="9" t="n">
        <v>1</v>
      </c>
      <c r="AZ17" s="9" t="n">
        <v>1</v>
      </c>
      <c r="BA17" s="9" t="n">
        <v>1</v>
      </c>
    </row>
    <row r="18">
      <c r="A18" s="9" t="n">
        <v>17</v>
      </c>
      <c r="B18" s="9" t="inlineStr">
        <is>
          <t>בנימין דניאל מיניץ</t>
        </is>
      </c>
      <c r="C18" s="9" t="n">
        <v>3.5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1</v>
      </c>
      <c r="N18" s="9" t="n">
        <v>4</v>
      </c>
      <c r="O18" s="9" t="n">
        <v>1</v>
      </c>
      <c r="P18" s="9" t="n">
        <v>4</v>
      </c>
      <c r="Q18" s="9" t="n">
        <v>3</v>
      </c>
      <c r="R18" s="9" t="n">
        <v>2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3</v>
      </c>
      <c r="Y18" s="9" t="n">
        <v>1</v>
      </c>
      <c r="Z18" s="9" t="n">
        <v>2</v>
      </c>
      <c r="AA18" s="9" t="n">
        <v>2</v>
      </c>
      <c r="AB18" s="9" t="n">
        <v>1</v>
      </c>
      <c r="AC18" s="9" t="n">
        <v>1</v>
      </c>
      <c r="AD18" s="9" t="n">
        <v>1</v>
      </c>
      <c r="AE18" s="9" t="n">
        <v>1</v>
      </c>
      <c r="AF18" s="9" t="n">
        <v>1</v>
      </c>
      <c r="AG18" s="9" t="n">
        <v>1</v>
      </c>
      <c r="AH18" s="9" t="n">
        <v>1</v>
      </c>
      <c r="AI18" s="9" t="n">
        <v>1</v>
      </c>
      <c r="AJ18" s="9" t="n">
        <v>1</v>
      </c>
      <c r="AK18" s="9" t="n">
        <v>1</v>
      </c>
      <c r="AL18" s="9" t="n">
        <v>1</v>
      </c>
      <c r="AM18" s="9" t="n">
        <v>1</v>
      </c>
      <c r="AN18" s="9" t="n">
        <v>1</v>
      </c>
      <c r="AO18" s="9" t="n">
        <v>1</v>
      </c>
      <c r="AP18" s="9" t="n">
        <v>1</v>
      </c>
      <c r="AQ18" s="9" t="n">
        <v>1</v>
      </c>
      <c r="AR18" s="9" t="n">
        <v>1</v>
      </c>
      <c r="AS18" s="9" t="n">
        <v>1</v>
      </c>
      <c r="AT18" s="9" t="n">
        <v>1</v>
      </c>
      <c r="AU18" s="9" t="n">
        <v>1</v>
      </c>
      <c r="AV18" s="9" t="n">
        <v>1</v>
      </c>
      <c r="AW18" s="9" t="n">
        <v>1</v>
      </c>
      <c r="AX18" s="9" t="n">
        <v>1</v>
      </c>
      <c r="AY18" s="9" t="n">
        <v>1</v>
      </c>
      <c r="AZ18" s="9" t="n">
        <v>1</v>
      </c>
      <c r="BA18" s="9" t="n">
        <v>1</v>
      </c>
    </row>
    <row r="19">
      <c r="A19" s="9" t="n">
        <v>18</v>
      </c>
      <c r="B19" s="9" t="inlineStr">
        <is>
          <t>ענבר בזק</t>
        </is>
      </c>
      <c r="C19" s="9" t="n">
        <v>4.5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3</v>
      </c>
      <c r="Y19" s="9" t="n">
        <v>2</v>
      </c>
      <c r="Z19" s="9" t="n">
        <v>3</v>
      </c>
      <c r="AA19" s="9" t="n">
        <v>2</v>
      </c>
      <c r="AB19" s="9" t="n">
        <v>2</v>
      </c>
      <c r="AC19" s="9" t="n">
        <v>5</v>
      </c>
      <c r="AD19" s="9" t="n">
        <v>3</v>
      </c>
      <c r="AE19" s="9" t="n">
        <v>4</v>
      </c>
      <c r="AF19" s="9" t="n">
        <v>4</v>
      </c>
      <c r="AG19" s="9" t="n">
        <v>2</v>
      </c>
      <c r="AH19" s="9" t="n">
        <v>1</v>
      </c>
      <c r="AI19" s="9" t="n">
        <v>1</v>
      </c>
      <c r="AJ19" s="9" t="n">
        <v>1</v>
      </c>
      <c r="AK19" s="9" t="n">
        <v>1</v>
      </c>
      <c r="AL19" s="9" t="n">
        <v>1</v>
      </c>
      <c r="AM19" s="9" t="n">
        <v>1</v>
      </c>
      <c r="AN19" s="9" t="n">
        <v>1</v>
      </c>
      <c r="AO19" s="9" t="n">
        <v>1</v>
      </c>
      <c r="AP19" s="9" t="n">
        <v>1</v>
      </c>
      <c r="AQ19" s="9" t="n">
        <v>1</v>
      </c>
      <c r="AR19" s="9" t="n">
        <v>3</v>
      </c>
      <c r="AS19" s="9" t="n">
        <v>3</v>
      </c>
      <c r="AT19" s="9" t="n">
        <v>4</v>
      </c>
      <c r="AU19" s="9" t="n">
        <v>4</v>
      </c>
      <c r="AV19" s="9" t="n">
        <v>2</v>
      </c>
      <c r="AW19" s="9" t="n">
        <v>2</v>
      </c>
      <c r="AX19" s="9" t="n">
        <v>1</v>
      </c>
      <c r="AY19" s="9" t="n">
        <v>2</v>
      </c>
      <c r="AZ19" s="9" t="n">
        <v>2</v>
      </c>
      <c r="BA19" s="9" t="n">
        <v>1</v>
      </c>
    </row>
    <row r="20">
      <c r="A20" s="9" t="n">
        <v>19</v>
      </c>
      <c r="B20" s="9" t="inlineStr">
        <is>
          <t>גיל ביילין</t>
        </is>
      </c>
      <c r="C20" s="9" t="n">
        <v>2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3</v>
      </c>
      <c r="J20" s="9" t="n">
        <v>1</v>
      </c>
      <c r="K20" s="9" t="n">
        <v>2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1</v>
      </c>
      <c r="AC20" s="9" t="n">
        <v>3</v>
      </c>
      <c r="AD20" s="9" t="n">
        <v>1</v>
      </c>
      <c r="AE20" s="9" t="n">
        <v>2</v>
      </c>
      <c r="AF20" s="9" t="n">
        <v>1</v>
      </c>
      <c r="AG20" s="9" t="n">
        <v>1</v>
      </c>
      <c r="AH20" s="9" t="n">
        <v>1</v>
      </c>
      <c r="AI20" s="9" t="n">
        <v>1</v>
      </c>
      <c r="AJ20" s="9" t="n">
        <v>1</v>
      </c>
      <c r="AK20" s="9" t="n">
        <v>1</v>
      </c>
      <c r="AL20" s="9" t="n">
        <v>1</v>
      </c>
      <c r="AM20" s="9" t="n">
        <v>1</v>
      </c>
      <c r="AN20" s="9" t="n">
        <v>1</v>
      </c>
      <c r="AO20" s="9" t="n">
        <v>1</v>
      </c>
      <c r="AP20" s="9" t="n">
        <v>1</v>
      </c>
      <c r="AQ20" s="9" t="n">
        <v>1</v>
      </c>
      <c r="AR20" s="9" t="n">
        <v>1</v>
      </c>
      <c r="AS20" s="9" t="n">
        <v>1</v>
      </c>
      <c r="AT20" s="9" t="n">
        <v>1</v>
      </c>
      <c r="AU20" s="9" t="n">
        <v>1</v>
      </c>
      <c r="AV20" s="9" t="n">
        <v>1</v>
      </c>
      <c r="AW20" s="9" t="n">
        <v>1</v>
      </c>
      <c r="AX20" s="9" t="n">
        <v>1</v>
      </c>
      <c r="AY20" s="9" t="n">
        <v>1</v>
      </c>
      <c r="AZ20" s="9" t="n">
        <v>1</v>
      </c>
      <c r="BA20" s="9" t="n">
        <v>1</v>
      </c>
    </row>
    <row r="21">
      <c r="A21" s="9" t="n">
        <v>20</v>
      </c>
      <c r="B21" s="9" t="inlineStr">
        <is>
          <t>יאיר רובינשטיין</t>
        </is>
      </c>
      <c r="C21" s="9" t="n">
        <v>3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>
        <v>5</v>
      </c>
      <c r="O21" s="9" t="n">
        <v>2</v>
      </c>
      <c r="P21" s="9" t="n">
        <v>3</v>
      </c>
      <c r="Q21" s="9" t="n">
        <v>1</v>
      </c>
      <c r="R21" s="9" t="n">
        <v>1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9" t="n">
        <v>1</v>
      </c>
      <c r="AC21" s="9" t="n">
        <v>1</v>
      </c>
      <c r="AD21" s="9" t="n">
        <v>1</v>
      </c>
      <c r="AE21" s="9" t="n">
        <v>1</v>
      </c>
      <c r="AF21" s="9" t="n">
        <v>1</v>
      </c>
      <c r="AG21" s="9" t="n">
        <v>1</v>
      </c>
      <c r="AH21" s="9" t="n">
        <v>1</v>
      </c>
      <c r="AI21" s="9" t="n">
        <v>1</v>
      </c>
      <c r="AJ21" s="9" t="n">
        <v>1</v>
      </c>
      <c r="AK21" s="9" t="n">
        <v>1</v>
      </c>
      <c r="AL21" s="9" t="n">
        <v>1</v>
      </c>
      <c r="AM21" s="9" t="n">
        <v>1</v>
      </c>
      <c r="AN21" s="9" t="n">
        <v>1</v>
      </c>
      <c r="AO21" s="9" t="n">
        <v>1</v>
      </c>
      <c r="AP21" s="9" t="n">
        <v>1</v>
      </c>
      <c r="AQ21" s="9" t="n">
        <v>1</v>
      </c>
      <c r="AR21" s="9" t="n">
        <v>1</v>
      </c>
      <c r="AS21" s="9" t="n">
        <v>1</v>
      </c>
      <c r="AT21" s="9" t="n">
        <v>1</v>
      </c>
      <c r="AU21" s="9" t="n">
        <v>1</v>
      </c>
      <c r="AV21" s="9" t="n">
        <v>1</v>
      </c>
      <c r="AW21" s="9" t="n">
        <v>1</v>
      </c>
      <c r="AX21" s="9" t="n">
        <v>1</v>
      </c>
      <c r="AY21" s="9" t="n">
        <v>1</v>
      </c>
      <c r="AZ21" s="9" t="n">
        <v>1</v>
      </c>
      <c r="BA21" s="9" t="n">
        <v>1</v>
      </c>
    </row>
    <row r="22">
      <c r="A22" s="9" t="n">
        <v>21</v>
      </c>
      <c r="B22" s="9" t="inlineStr">
        <is>
          <t>דני אלגרט</t>
        </is>
      </c>
      <c r="C22" s="9" t="n">
        <v>4.5</v>
      </c>
      <c r="D22" s="9" t="n">
        <v>5</v>
      </c>
      <c r="E22" s="9" t="n">
        <v>5</v>
      </c>
      <c r="F22" s="9" t="n">
        <v>5</v>
      </c>
      <c r="G22" s="9" t="n">
        <v>3</v>
      </c>
      <c r="H22" s="9" t="n">
        <v>3</v>
      </c>
      <c r="I22" s="9" t="n">
        <v>4</v>
      </c>
      <c r="J22" s="9" t="n">
        <v>3</v>
      </c>
      <c r="K22" s="9" t="n">
        <v>4</v>
      </c>
      <c r="L22" s="9" t="n">
        <v>2</v>
      </c>
      <c r="M22" s="9" t="n">
        <v>3</v>
      </c>
      <c r="N22" s="9" t="n">
        <v>1</v>
      </c>
      <c r="O22" s="9" t="n">
        <v>1</v>
      </c>
      <c r="P22" s="9" t="n">
        <v>1</v>
      </c>
      <c r="Q22" s="9" t="n">
        <v>1</v>
      </c>
      <c r="R22" s="9" t="n">
        <v>1</v>
      </c>
      <c r="S22" s="9" t="n">
        <v>1</v>
      </c>
      <c r="T22" s="9" t="n">
        <v>1</v>
      </c>
      <c r="U22" s="9" t="n">
        <v>1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9" t="n">
        <v>1</v>
      </c>
      <c r="AC22" s="9" t="n">
        <v>1</v>
      </c>
      <c r="AD22" s="9" t="n">
        <v>1</v>
      </c>
      <c r="AE22" s="9" t="n">
        <v>1</v>
      </c>
      <c r="AF22" s="9" t="n">
        <v>1</v>
      </c>
      <c r="AG22" s="9" t="n">
        <v>1</v>
      </c>
      <c r="AH22" s="9" t="n">
        <v>1</v>
      </c>
      <c r="AI22" s="9" t="n">
        <v>1</v>
      </c>
      <c r="AJ22" s="9" t="n">
        <v>1</v>
      </c>
      <c r="AK22" s="9" t="n">
        <v>1</v>
      </c>
      <c r="AL22" s="9" t="n">
        <v>1</v>
      </c>
      <c r="AM22" s="9" t="n">
        <v>1</v>
      </c>
      <c r="AN22" s="9" t="n">
        <v>1</v>
      </c>
      <c r="AO22" s="9" t="n">
        <v>1</v>
      </c>
      <c r="AP22" s="9" t="n">
        <v>1</v>
      </c>
      <c r="AQ22" s="9" t="n">
        <v>1</v>
      </c>
      <c r="AR22" s="9" t="n">
        <v>1</v>
      </c>
      <c r="AS22" s="9" t="n">
        <v>1</v>
      </c>
      <c r="AT22" s="9" t="n">
        <v>1</v>
      </c>
      <c r="AU22" s="9" t="n">
        <v>1</v>
      </c>
      <c r="AV22" s="9" t="n">
        <v>1</v>
      </c>
      <c r="AW22" s="9" t="n">
        <v>1</v>
      </c>
      <c r="AX22" s="9" t="n">
        <v>1</v>
      </c>
      <c r="AY22" s="9" t="n">
        <v>1</v>
      </c>
      <c r="AZ22" s="9" t="n">
        <v>1</v>
      </c>
      <c r="BA22" s="9" t="n">
        <v>1</v>
      </c>
    </row>
    <row r="23">
      <c r="A23" s="9" t="n">
        <v>22</v>
      </c>
      <c r="B23" s="9" t="inlineStr">
        <is>
          <t>אמיר ח'ניפס</t>
        </is>
      </c>
      <c r="C23" s="9" t="n">
        <v>4</v>
      </c>
      <c r="D23" s="9" t="n">
        <v>3</v>
      </c>
      <c r="E23" s="9" t="n">
        <v>4</v>
      </c>
      <c r="F23" s="9" t="n">
        <v>3</v>
      </c>
      <c r="G23" s="9" t="n">
        <v>2</v>
      </c>
      <c r="H23" s="9" t="n">
        <v>2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9" t="n">
        <v>1</v>
      </c>
      <c r="S23" s="9" t="n">
        <v>3</v>
      </c>
      <c r="T23" s="9" t="n">
        <v>3</v>
      </c>
      <c r="U23" s="9" t="n">
        <v>2</v>
      </c>
      <c r="V23" s="9" t="n">
        <v>2</v>
      </c>
      <c r="W23" s="9" t="n">
        <v>1</v>
      </c>
      <c r="X23" s="9" t="n">
        <v>5</v>
      </c>
      <c r="Y23" s="9" t="n">
        <v>4</v>
      </c>
      <c r="Z23" s="9" t="n">
        <v>5</v>
      </c>
      <c r="AA23" s="9" t="n">
        <v>3</v>
      </c>
      <c r="AB23" s="9" t="n">
        <v>2</v>
      </c>
      <c r="AC23" s="9" t="n">
        <v>3</v>
      </c>
      <c r="AD23" s="9" t="n">
        <v>2</v>
      </c>
      <c r="AE23" s="9" t="n">
        <v>3</v>
      </c>
      <c r="AF23" s="9" t="n">
        <v>2</v>
      </c>
      <c r="AG23" s="9" t="n">
        <v>1</v>
      </c>
      <c r="AH23" s="9" t="n">
        <v>1</v>
      </c>
      <c r="AI23" s="9" t="n">
        <v>1</v>
      </c>
      <c r="AJ23" s="9" t="n">
        <v>1</v>
      </c>
      <c r="AK23" s="9" t="n">
        <v>1</v>
      </c>
      <c r="AL23" s="9" t="n">
        <v>1</v>
      </c>
      <c r="AM23" s="9" t="n">
        <v>1</v>
      </c>
      <c r="AN23" s="9" t="n">
        <v>1</v>
      </c>
      <c r="AO23" s="9" t="n">
        <v>1</v>
      </c>
      <c r="AP23" s="9" t="n">
        <v>1</v>
      </c>
      <c r="AQ23" s="9" t="n">
        <v>1</v>
      </c>
      <c r="AR23" s="9" t="n">
        <v>1</v>
      </c>
      <c r="AS23" s="9" t="n">
        <v>1</v>
      </c>
      <c r="AT23" s="9" t="n">
        <v>1</v>
      </c>
      <c r="AU23" s="9" t="n">
        <v>1</v>
      </c>
      <c r="AV23" s="9" t="n">
        <v>1</v>
      </c>
      <c r="AW23" s="9" t="n">
        <v>1</v>
      </c>
      <c r="AX23" s="9" t="n">
        <v>1</v>
      </c>
      <c r="AY23" s="9" t="n">
        <v>1</v>
      </c>
      <c r="AZ23" s="9" t="n">
        <v>1</v>
      </c>
      <c r="BA23" s="9" t="n">
        <v>1</v>
      </c>
    </row>
    <row r="24">
      <c r="A24" s="9" t="n">
        <v>23</v>
      </c>
      <c r="B24" s="9" t="inlineStr">
        <is>
          <t>הדס רגולסקי</t>
        </is>
      </c>
      <c r="C24" s="9" t="n">
        <v>3.5</v>
      </c>
      <c r="D24" s="9" t="n">
        <v>3</v>
      </c>
      <c r="E24" s="9" t="n">
        <v>2</v>
      </c>
      <c r="F24" s="9" t="n">
        <v>4</v>
      </c>
      <c r="G24" s="9" t="n">
        <v>3</v>
      </c>
      <c r="H24" s="9" t="n">
        <v>2</v>
      </c>
      <c r="I24" s="9" t="n">
        <v>4</v>
      </c>
      <c r="J24" s="9" t="n">
        <v>3</v>
      </c>
      <c r="K24" s="9" t="n">
        <v>4</v>
      </c>
      <c r="L24" s="9" t="n">
        <v>3</v>
      </c>
      <c r="M24" s="9" t="n">
        <v>2</v>
      </c>
      <c r="N24" s="9" t="n">
        <v>3</v>
      </c>
      <c r="O24" s="9" t="n">
        <v>2</v>
      </c>
      <c r="P24" s="9" t="n">
        <v>3</v>
      </c>
      <c r="Q24" s="9" t="n">
        <v>2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  <c r="AI24" s="9" t="n">
        <v>1</v>
      </c>
      <c r="AJ24" s="9" t="n">
        <v>1</v>
      </c>
      <c r="AK24" s="9" t="n">
        <v>1</v>
      </c>
      <c r="AL24" s="9" t="n">
        <v>1</v>
      </c>
      <c r="AM24" s="9" t="n">
        <v>1</v>
      </c>
      <c r="AN24" s="9" t="n">
        <v>1</v>
      </c>
      <c r="AO24" s="9" t="n">
        <v>1</v>
      </c>
      <c r="AP24" s="9" t="n">
        <v>1</v>
      </c>
      <c r="AQ24" s="9" t="n">
        <v>1</v>
      </c>
      <c r="AR24" s="9" t="n">
        <v>1</v>
      </c>
      <c r="AS24" s="9" t="n">
        <v>1</v>
      </c>
      <c r="AT24" s="9" t="n">
        <v>1</v>
      </c>
      <c r="AU24" s="9" t="n">
        <v>1</v>
      </c>
      <c r="AV24" s="9" t="n">
        <v>1</v>
      </c>
      <c r="AW24" s="9" t="n">
        <v>5</v>
      </c>
      <c r="AX24" s="9" t="n">
        <v>4</v>
      </c>
      <c r="AY24" s="9" t="n">
        <v>4</v>
      </c>
      <c r="AZ24" s="9" t="n">
        <v>3</v>
      </c>
      <c r="BA24" s="9" t="n">
        <v>3</v>
      </c>
    </row>
    <row r="25">
      <c r="A25" s="9" t="n">
        <v>24</v>
      </c>
      <c r="B25" s="9" t="inlineStr">
        <is>
          <t>אבישי ליכטנשטיין</t>
        </is>
      </c>
      <c r="C25" s="9" t="n">
        <v>3</v>
      </c>
      <c r="D25" s="9" t="n">
        <v>3</v>
      </c>
      <c r="E25" s="9" t="n">
        <v>1</v>
      </c>
      <c r="F25" s="9" t="n">
        <v>2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  <c r="AI25" s="9" t="n">
        <v>1</v>
      </c>
      <c r="AJ25" s="9" t="n">
        <v>1</v>
      </c>
      <c r="AK25" s="9" t="n">
        <v>1</v>
      </c>
      <c r="AL25" s="9" t="n">
        <v>1</v>
      </c>
      <c r="AM25" s="9" t="n">
        <v>3</v>
      </c>
      <c r="AN25" s="9" t="n">
        <v>1</v>
      </c>
      <c r="AO25" s="9" t="n">
        <v>3</v>
      </c>
      <c r="AP25" s="9" t="n">
        <v>2</v>
      </c>
      <c r="AQ25" s="9" t="n">
        <v>1</v>
      </c>
      <c r="AR25" s="9" t="n">
        <v>1</v>
      </c>
      <c r="AS25" s="9" t="n">
        <v>1</v>
      </c>
      <c r="AT25" s="9" t="n">
        <v>1</v>
      </c>
      <c r="AU25" s="9" t="n">
        <v>1</v>
      </c>
      <c r="AV25" s="9" t="n">
        <v>1</v>
      </c>
      <c r="AW25" s="9" t="n">
        <v>1</v>
      </c>
      <c r="AX25" s="9" t="n">
        <v>1</v>
      </c>
      <c r="AY25" s="9" t="n">
        <v>1</v>
      </c>
      <c r="AZ25" s="9" t="n">
        <v>1</v>
      </c>
      <c r="BA25" s="9" t="n">
        <v>1</v>
      </c>
    </row>
    <row r="26">
      <c r="A26" s="9" t="n">
        <v>25</v>
      </c>
      <c r="B26" s="9" t="inlineStr">
        <is>
          <t>חן אריאלי</t>
        </is>
      </c>
      <c r="C26" s="9" t="n">
        <v>4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3</v>
      </c>
      <c r="Y26" s="9" t="n">
        <v>2</v>
      </c>
      <c r="Z26" s="9" t="n">
        <v>3</v>
      </c>
      <c r="AA26" s="9" t="n">
        <v>3</v>
      </c>
      <c r="AB26" s="9" t="n">
        <v>2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3</v>
      </c>
      <c r="AI26" s="9" t="n">
        <v>2</v>
      </c>
      <c r="AJ26" s="9" t="n">
        <v>3</v>
      </c>
      <c r="AK26" s="9" t="n">
        <v>3</v>
      </c>
      <c r="AL26" s="9" t="n">
        <v>2</v>
      </c>
      <c r="AM26" s="9" t="n">
        <v>1</v>
      </c>
      <c r="AN26" s="9" t="n">
        <v>1</v>
      </c>
      <c r="AO26" s="9" t="n">
        <v>1</v>
      </c>
      <c r="AP26" s="9" t="n">
        <v>1</v>
      </c>
      <c r="AQ26" s="9" t="n">
        <v>1</v>
      </c>
      <c r="AR26" s="9" t="n">
        <v>1</v>
      </c>
      <c r="AS26" s="9" t="n">
        <v>1</v>
      </c>
      <c r="AT26" s="9" t="n">
        <v>1</v>
      </c>
      <c r="AU26" s="9" t="n">
        <v>1</v>
      </c>
      <c r="AV26" s="9" t="n">
        <v>1</v>
      </c>
      <c r="AW26" s="9" t="n">
        <v>5</v>
      </c>
      <c r="AX26" s="9" t="n">
        <v>4</v>
      </c>
      <c r="AY26" s="9" t="n">
        <v>5</v>
      </c>
      <c r="AZ26" s="9" t="n">
        <v>4</v>
      </c>
      <c r="BA26" s="9" t="n">
        <v>3</v>
      </c>
    </row>
    <row r="27">
      <c r="A27" s="9" t="n">
        <v>26</v>
      </c>
      <c r="B27" s="9" t="inlineStr">
        <is>
          <t>מיכל רוזין</t>
        </is>
      </c>
      <c r="C27" s="9" t="n">
        <v>5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5</v>
      </c>
      <c r="J27" s="9" t="n">
        <v>4</v>
      </c>
      <c r="K27" s="9" t="n">
        <v>4</v>
      </c>
      <c r="L27" s="9" t="n">
        <v>4</v>
      </c>
      <c r="M27" s="9" t="n">
        <v>3</v>
      </c>
      <c r="N27" s="9" t="n">
        <v>4</v>
      </c>
      <c r="O27" s="9" t="n">
        <v>3</v>
      </c>
      <c r="P27" s="9" t="n">
        <v>3</v>
      </c>
      <c r="Q27" s="9" t="n">
        <v>3</v>
      </c>
      <c r="R27" s="9" t="n">
        <v>2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3</v>
      </c>
      <c r="Y27" s="9" t="n">
        <v>2</v>
      </c>
      <c r="Z27" s="9" t="n">
        <v>4</v>
      </c>
      <c r="AA27" s="9" t="n">
        <v>2</v>
      </c>
      <c r="AB27" s="9" t="n">
        <v>2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  <c r="AI27" s="9" t="n">
        <v>1</v>
      </c>
      <c r="AJ27" s="9" t="n">
        <v>1</v>
      </c>
      <c r="AK27" s="9" t="n">
        <v>1</v>
      </c>
      <c r="AL27" s="9" t="n">
        <v>1</v>
      </c>
      <c r="AM27" s="9" t="n">
        <v>1</v>
      </c>
      <c r="AN27" s="9" t="n">
        <v>1</v>
      </c>
      <c r="AO27" s="9" t="n">
        <v>1</v>
      </c>
      <c r="AP27" s="9" t="n">
        <v>1</v>
      </c>
      <c r="AQ27" s="9" t="n">
        <v>1</v>
      </c>
      <c r="AR27" s="9" t="n">
        <v>1</v>
      </c>
      <c r="AS27" s="9" t="n">
        <v>1</v>
      </c>
      <c r="AT27" s="9" t="n">
        <v>1</v>
      </c>
      <c r="AU27" s="9" t="n">
        <v>1</v>
      </c>
      <c r="AV27" s="9" t="n">
        <v>1</v>
      </c>
      <c r="AW27" s="9" t="n">
        <v>5</v>
      </c>
      <c r="AX27" s="9" t="n">
        <v>4</v>
      </c>
      <c r="AY27" s="9" t="n">
        <v>4</v>
      </c>
      <c r="AZ27" s="9" t="n">
        <v>4</v>
      </c>
      <c r="BA27" s="9" t="n">
        <v>3</v>
      </c>
    </row>
    <row r="28">
      <c r="A28" s="9" t="n">
        <v>27</v>
      </c>
      <c r="B28" s="9" t="inlineStr">
        <is>
          <t>ערן ניסן</t>
        </is>
      </c>
      <c r="C28" s="9" t="n">
        <v>3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4</v>
      </c>
      <c r="J28" s="9" t="n">
        <v>2</v>
      </c>
      <c r="K28" s="9" t="n">
        <v>3</v>
      </c>
      <c r="L28" s="9" t="n">
        <v>2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4</v>
      </c>
      <c r="T28" s="9" t="n">
        <v>2</v>
      </c>
      <c r="U28" s="9" t="n">
        <v>4</v>
      </c>
      <c r="V28" s="9" t="n">
        <v>2</v>
      </c>
      <c r="W28" s="9" t="n">
        <v>1</v>
      </c>
      <c r="X28" s="9" t="n">
        <v>4</v>
      </c>
      <c r="Y28" s="9" t="n">
        <v>2</v>
      </c>
      <c r="Z28" s="9" t="n">
        <v>3</v>
      </c>
      <c r="AA28" s="9" t="n">
        <v>2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  <c r="AI28" s="9" t="n">
        <v>1</v>
      </c>
      <c r="AJ28" s="9" t="n">
        <v>1</v>
      </c>
      <c r="AK28" s="9" t="n">
        <v>1</v>
      </c>
      <c r="AL28" s="9" t="n">
        <v>1</v>
      </c>
      <c r="AM28" s="9" t="n">
        <v>1</v>
      </c>
      <c r="AN28" s="9" t="n">
        <v>1</v>
      </c>
      <c r="AO28" s="9" t="n">
        <v>1</v>
      </c>
      <c r="AP28" s="9" t="n">
        <v>1</v>
      </c>
      <c r="AQ28" s="9" t="n">
        <v>1</v>
      </c>
      <c r="AR28" s="9" t="n">
        <v>1</v>
      </c>
      <c r="AS28" s="9" t="n">
        <v>1</v>
      </c>
      <c r="AT28" s="9" t="n">
        <v>1</v>
      </c>
      <c r="AU28" s="9" t="n">
        <v>1</v>
      </c>
      <c r="AV28" s="9" t="n">
        <v>1</v>
      </c>
      <c r="AW28" s="9" t="n">
        <v>1</v>
      </c>
      <c r="AX28" s="9" t="n">
        <v>1</v>
      </c>
      <c r="AY28" s="9" t="n">
        <v>1</v>
      </c>
      <c r="AZ28" s="9" t="n">
        <v>1</v>
      </c>
      <c r="BA28" s="9" t="n">
        <v>1</v>
      </c>
    </row>
    <row r="29">
      <c r="A29" s="9" t="n">
        <v>28</v>
      </c>
      <c r="B29" s="9" t="inlineStr">
        <is>
          <t>אפרת רייטן</t>
        </is>
      </c>
      <c r="C29" s="9" t="n">
        <v>5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4</v>
      </c>
      <c r="J29" s="9" t="n">
        <v>4</v>
      </c>
      <c r="K29" s="9" t="n">
        <v>5</v>
      </c>
      <c r="L29" s="9" t="n">
        <v>4</v>
      </c>
      <c r="M29" s="9" t="n">
        <v>3</v>
      </c>
      <c r="N29" s="9" t="n">
        <v>3</v>
      </c>
      <c r="O29" s="9" t="n">
        <v>2</v>
      </c>
      <c r="P29" s="9" t="n">
        <v>3</v>
      </c>
      <c r="Q29" s="9" t="n">
        <v>2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5</v>
      </c>
      <c r="AD29" s="9" t="n">
        <v>4</v>
      </c>
      <c r="AE29" s="9" t="n">
        <v>5</v>
      </c>
      <c r="AF29" s="9" t="n">
        <v>5</v>
      </c>
      <c r="AG29" s="9" t="n">
        <v>3</v>
      </c>
      <c r="AH29" s="9" t="n">
        <v>1</v>
      </c>
      <c r="AI29" s="9" t="n">
        <v>1</v>
      </c>
      <c r="AJ29" s="9" t="n">
        <v>1</v>
      </c>
      <c r="AK29" s="9" t="n">
        <v>1</v>
      </c>
      <c r="AL29" s="9" t="n">
        <v>1</v>
      </c>
      <c r="AM29" s="9" t="n">
        <v>1</v>
      </c>
      <c r="AN29" s="9" t="n">
        <v>1</v>
      </c>
      <c r="AO29" s="9" t="n">
        <v>1</v>
      </c>
      <c r="AP29" s="9" t="n">
        <v>1</v>
      </c>
      <c r="AQ29" s="9" t="n">
        <v>1</v>
      </c>
      <c r="AR29" s="9" t="n">
        <v>1</v>
      </c>
      <c r="AS29" s="9" t="n">
        <v>2</v>
      </c>
      <c r="AT29" s="9" t="n">
        <v>1</v>
      </c>
      <c r="AU29" s="9" t="n">
        <v>3</v>
      </c>
      <c r="AV29" s="9" t="n">
        <v>4</v>
      </c>
      <c r="AW29" s="9" t="n">
        <v>4</v>
      </c>
      <c r="AX29" s="9" t="n">
        <v>2</v>
      </c>
      <c r="AY29" s="9" t="n">
        <v>3</v>
      </c>
      <c r="AZ29" s="9" t="n">
        <v>3</v>
      </c>
      <c r="BA29" s="9" t="n">
        <v>2</v>
      </c>
    </row>
    <row r="30">
      <c r="A30" s="9" t="n">
        <v>29</v>
      </c>
      <c r="B30" s="9" t="inlineStr">
        <is>
          <t>קטי פיאסצקי</t>
        </is>
      </c>
      <c r="C30" s="9" t="n">
        <v>4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3</v>
      </c>
      <c r="J30" s="9" t="n">
        <v>2</v>
      </c>
      <c r="K30" s="9" t="n">
        <v>3</v>
      </c>
      <c r="L30" s="9" t="n">
        <v>2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4</v>
      </c>
      <c r="AD30" s="9" t="n">
        <v>2</v>
      </c>
      <c r="AE30" s="9" t="n">
        <v>3</v>
      </c>
      <c r="AF30" s="9" t="n">
        <v>2</v>
      </c>
      <c r="AG30" s="9" t="n">
        <v>1</v>
      </c>
      <c r="AH30" s="9" t="n">
        <v>1</v>
      </c>
      <c r="AI30" s="9" t="n">
        <v>1</v>
      </c>
      <c r="AJ30" s="9" t="n">
        <v>1</v>
      </c>
      <c r="AK30" s="9" t="n">
        <v>1</v>
      </c>
      <c r="AL30" s="9" t="n">
        <v>1</v>
      </c>
      <c r="AM30" s="9" t="n">
        <v>3</v>
      </c>
      <c r="AN30" s="9" t="n">
        <v>1</v>
      </c>
      <c r="AO30" s="9" t="n">
        <v>2</v>
      </c>
      <c r="AP30" s="9" t="n">
        <v>2</v>
      </c>
      <c r="AQ30" s="9" t="n">
        <v>1</v>
      </c>
      <c r="AR30" s="9" t="n">
        <v>1</v>
      </c>
      <c r="AS30" s="9" t="n">
        <v>1</v>
      </c>
      <c r="AT30" s="9" t="n">
        <v>1</v>
      </c>
      <c r="AU30" s="9" t="n">
        <v>1</v>
      </c>
      <c r="AV30" s="9" t="n">
        <v>1</v>
      </c>
      <c r="AW30" s="9" t="n">
        <v>4</v>
      </c>
      <c r="AX30" s="9" t="n">
        <v>2</v>
      </c>
      <c r="AY30" s="9" t="n">
        <v>3</v>
      </c>
      <c r="AZ30" s="9" t="n">
        <v>2</v>
      </c>
      <c r="BA30" s="9" t="n">
        <v>1</v>
      </c>
    </row>
    <row r="31">
      <c r="A31" s="9" t="n">
        <v>30</v>
      </c>
      <c r="B31" s="9" t="inlineStr">
        <is>
          <t>אחסאן חלאילה</t>
        </is>
      </c>
      <c r="C31" s="9" t="n">
        <v>3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4</v>
      </c>
      <c r="Y31" s="9" t="n">
        <v>1</v>
      </c>
      <c r="Z31" s="9" t="n">
        <v>3</v>
      </c>
      <c r="AA31" s="9" t="n">
        <v>2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5</v>
      </c>
      <c r="AI31" s="9" t="n">
        <v>1</v>
      </c>
      <c r="AJ31" s="9" t="n">
        <v>3</v>
      </c>
      <c r="AK31" s="9" t="n">
        <v>2</v>
      </c>
      <c r="AL31" s="9" t="n">
        <v>1</v>
      </c>
      <c r="AM31" s="9" t="n">
        <v>1</v>
      </c>
      <c r="AN31" s="9" t="n">
        <v>1</v>
      </c>
      <c r="AO31" s="9" t="n">
        <v>1</v>
      </c>
      <c r="AP31" s="9" t="n">
        <v>1</v>
      </c>
      <c r="AQ31" s="9" t="n">
        <v>1</v>
      </c>
      <c r="AR31" s="9" t="n">
        <v>1</v>
      </c>
      <c r="AS31" s="9" t="n">
        <v>1</v>
      </c>
      <c r="AT31" s="9" t="n">
        <v>1</v>
      </c>
      <c r="AU31" s="9" t="n">
        <v>1</v>
      </c>
      <c r="AV31" s="9" t="n">
        <v>1</v>
      </c>
      <c r="AW31" s="9" t="n">
        <v>1</v>
      </c>
      <c r="AX31" s="9" t="n">
        <v>1</v>
      </c>
      <c r="AY31" s="9" t="n">
        <v>1</v>
      </c>
      <c r="AZ31" s="9" t="n">
        <v>1</v>
      </c>
      <c r="BA31" s="9" t="n">
        <v>1</v>
      </c>
    </row>
    <row r="32">
      <c r="A32" s="9" t="n">
        <v>31</v>
      </c>
      <c r="B32" s="9" t="inlineStr">
        <is>
          <t>נדאל מסאלחה</t>
        </is>
      </c>
      <c r="C32" s="9" t="n">
        <v>3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3</v>
      </c>
      <c r="T32" s="9" t="n">
        <v>2</v>
      </c>
      <c r="U32" s="9" t="n">
        <v>3</v>
      </c>
      <c r="V32" s="9" t="n">
        <v>1</v>
      </c>
      <c r="W32" s="9" t="n">
        <v>1</v>
      </c>
      <c r="X32" s="9" t="n">
        <v>4</v>
      </c>
      <c r="Y32" s="9" t="n">
        <v>1</v>
      </c>
      <c r="Z32" s="9" t="n">
        <v>4</v>
      </c>
      <c r="AA32" s="9" t="n">
        <v>2</v>
      </c>
      <c r="AB32" s="9" t="n">
        <v>1</v>
      </c>
      <c r="AC32" s="9" t="n">
        <v>3</v>
      </c>
      <c r="AD32" s="9" t="n">
        <v>1</v>
      </c>
      <c r="AE32" s="9" t="n">
        <v>3</v>
      </c>
      <c r="AF32" s="9" t="n">
        <v>2</v>
      </c>
      <c r="AG32" s="9" t="n">
        <v>1</v>
      </c>
      <c r="AH32" s="9" t="n">
        <v>1</v>
      </c>
      <c r="AI32" s="9" t="n">
        <v>1</v>
      </c>
      <c r="AJ32" s="9" t="n">
        <v>1</v>
      </c>
      <c r="AK32" s="9" t="n">
        <v>1</v>
      </c>
      <c r="AL32" s="9" t="n">
        <v>1</v>
      </c>
      <c r="AM32" s="9" t="n">
        <v>1</v>
      </c>
      <c r="AN32" s="9" t="n">
        <v>1</v>
      </c>
      <c r="AO32" s="9" t="n">
        <v>1</v>
      </c>
      <c r="AP32" s="9" t="n">
        <v>1</v>
      </c>
      <c r="AQ32" s="9" t="n">
        <v>1</v>
      </c>
      <c r="AR32" s="9" t="n">
        <v>4</v>
      </c>
      <c r="AS32" s="9" t="n">
        <v>2</v>
      </c>
      <c r="AT32" s="9" t="n">
        <v>3</v>
      </c>
      <c r="AU32" s="9" t="n">
        <v>2</v>
      </c>
      <c r="AV32" s="9" t="n">
        <v>1</v>
      </c>
      <c r="AW32" s="9" t="n">
        <v>1</v>
      </c>
      <c r="AX32" s="9" t="n">
        <v>1</v>
      </c>
      <c r="AY32" s="9" t="n">
        <v>1</v>
      </c>
      <c r="AZ32" s="9" t="n">
        <v>1</v>
      </c>
      <c r="BA32" s="9" t="n">
        <v>1</v>
      </c>
    </row>
    <row r="33">
      <c r="A33" s="9" t="n">
        <v>32</v>
      </c>
      <c r="B33" s="9" t="inlineStr">
        <is>
          <t>ענבל וורטמן שהם</t>
        </is>
      </c>
      <c r="C33" s="9" t="n">
        <v>3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4</v>
      </c>
      <c r="AD33" s="9" t="n">
        <v>1</v>
      </c>
      <c r="AE33" s="9" t="n">
        <v>3</v>
      </c>
      <c r="AF33" s="9" t="n">
        <v>2</v>
      </c>
      <c r="AG33" s="9" t="n">
        <v>1</v>
      </c>
      <c r="AH33" s="9" t="n">
        <v>3</v>
      </c>
      <c r="AI33" s="9" t="n">
        <v>1</v>
      </c>
      <c r="AJ33" s="9" t="n">
        <v>2</v>
      </c>
      <c r="AK33" s="9" t="n">
        <v>1</v>
      </c>
      <c r="AL33" s="9" t="n">
        <v>1</v>
      </c>
      <c r="AM33" s="9" t="n">
        <v>1</v>
      </c>
      <c r="AN33" s="9" t="n">
        <v>1</v>
      </c>
      <c r="AO33" s="9" t="n">
        <v>1</v>
      </c>
      <c r="AP33" s="9" t="n">
        <v>1</v>
      </c>
      <c r="AQ33" s="9" t="n">
        <v>1</v>
      </c>
      <c r="AR33" s="9" t="n">
        <v>1</v>
      </c>
      <c r="AS33" s="9" t="n">
        <v>1</v>
      </c>
      <c r="AT33" s="9" t="n">
        <v>1</v>
      </c>
      <c r="AU33" s="9" t="n">
        <v>1</v>
      </c>
      <c r="AV33" s="9" t="n">
        <v>1</v>
      </c>
      <c r="AW33" s="9" t="n">
        <v>1</v>
      </c>
      <c r="AX33" s="9" t="n">
        <v>1</v>
      </c>
      <c r="AY33" s="9" t="n">
        <v>1</v>
      </c>
      <c r="AZ33" s="9" t="n">
        <v>1</v>
      </c>
      <c r="BA33" s="9" t="n">
        <v>1</v>
      </c>
    </row>
    <row r="34">
      <c r="A34" s="9" t="n">
        <v>33</v>
      </c>
      <c r="B34" s="9" t="inlineStr">
        <is>
          <t>יאיא פינק</t>
        </is>
      </c>
      <c r="C34" s="9" t="n">
        <v>4.5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5</v>
      </c>
      <c r="O34" s="9" t="n">
        <v>4</v>
      </c>
      <c r="P34" s="9" t="n">
        <v>5</v>
      </c>
      <c r="Q34" s="9" t="n">
        <v>3</v>
      </c>
      <c r="R34" s="9" t="n">
        <v>2</v>
      </c>
      <c r="S34" s="9" t="n">
        <v>4</v>
      </c>
      <c r="T34" s="9" t="n">
        <v>3</v>
      </c>
      <c r="U34" s="9" t="n">
        <v>4</v>
      </c>
      <c r="V34" s="9" t="n">
        <v>3</v>
      </c>
      <c r="W34" s="9" t="n">
        <v>1</v>
      </c>
      <c r="X34" s="9" t="n">
        <v>4</v>
      </c>
      <c r="Y34" s="9" t="n">
        <v>3</v>
      </c>
      <c r="Z34" s="9" t="n">
        <v>4</v>
      </c>
      <c r="AA34" s="9" t="n">
        <v>3</v>
      </c>
      <c r="AB34" s="9" t="n">
        <v>2</v>
      </c>
      <c r="AC34" s="9" t="n">
        <v>4</v>
      </c>
      <c r="AD34" s="9" t="n">
        <v>3</v>
      </c>
      <c r="AE34" s="9" t="n">
        <v>4</v>
      </c>
      <c r="AF34" s="9" t="n">
        <v>3</v>
      </c>
      <c r="AG34" s="9" t="n">
        <v>3</v>
      </c>
      <c r="AH34" s="9" t="n">
        <v>1</v>
      </c>
      <c r="AI34" s="9" t="n">
        <v>1</v>
      </c>
      <c r="AJ34" s="9" t="n">
        <v>1</v>
      </c>
      <c r="AK34" s="9" t="n">
        <v>1</v>
      </c>
      <c r="AL34" s="9" t="n">
        <v>1</v>
      </c>
      <c r="AM34" s="9" t="n">
        <v>1</v>
      </c>
      <c r="AN34" s="9" t="n">
        <v>1</v>
      </c>
      <c r="AO34" s="9" t="n">
        <v>1</v>
      </c>
      <c r="AP34" s="9" t="n">
        <v>1</v>
      </c>
      <c r="AQ34" s="9" t="n">
        <v>1</v>
      </c>
      <c r="AR34" s="9" t="n">
        <v>2</v>
      </c>
      <c r="AS34" s="9" t="n">
        <v>3</v>
      </c>
      <c r="AT34" s="9" t="n">
        <v>4</v>
      </c>
      <c r="AU34" s="9" t="n">
        <v>4</v>
      </c>
      <c r="AV34" s="9" t="n">
        <v>3</v>
      </c>
      <c r="AW34" s="9" t="n">
        <v>3</v>
      </c>
      <c r="AX34" s="9" t="n">
        <v>2</v>
      </c>
      <c r="AY34" s="9" t="n">
        <v>3</v>
      </c>
      <c r="AZ34" s="9" t="n">
        <v>2</v>
      </c>
      <c r="BA34" s="9" t="n">
        <v>2</v>
      </c>
    </row>
    <row r="35">
      <c r="A35" s="9" t="n">
        <v>34</v>
      </c>
      <c r="B35" s="9" t="inlineStr">
        <is>
          <t>עאיד בדיר</t>
        </is>
      </c>
      <c r="C35" s="9" t="n">
        <v>3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4</v>
      </c>
      <c r="Y35" s="9" t="n">
        <v>2</v>
      </c>
      <c r="Z35" s="9" t="n">
        <v>3</v>
      </c>
      <c r="AA35" s="9" t="n">
        <v>2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  <c r="AI35" s="9" t="n">
        <v>1</v>
      </c>
      <c r="AJ35" s="9" t="n">
        <v>1</v>
      </c>
      <c r="AK35" s="9" t="n">
        <v>1</v>
      </c>
      <c r="AL35" s="9" t="n">
        <v>1</v>
      </c>
      <c r="AM35" s="9" t="n">
        <v>3</v>
      </c>
      <c r="AN35" s="9" t="n">
        <v>1</v>
      </c>
      <c r="AO35" s="9" t="n">
        <v>3</v>
      </c>
      <c r="AP35" s="9" t="n">
        <v>2</v>
      </c>
      <c r="AQ35" s="9" t="n">
        <v>1</v>
      </c>
      <c r="AR35" s="9" t="n">
        <v>1</v>
      </c>
      <c r="AS35" s="9" t="n">
        <v>1</v>
      </c>
      <c r="AT35" s="9" t="n">
        <v>1</v>
      </c>
      <c r="AU35" s="9" t="n">
        <v>1</v>
      </c>
      <c r="AV35" s="9" t="n">
        <v>1</v>
      </c>
      <c r="AW35" s="9" t="n">
        <v>1</v>
      </c>
      <c r="AX35" s="9" t="n">
        <v>1</v>
      </c>
      <c r="AY35" s="9" t="n">
        <v>1</v>
      </c>
      <c r="AZ35" s="9" t="n">
        <v>1</v>
      </c>
      <c r="BA35" s="9" t="n">
        <v>1</v>
      </c>
    </row>
    <row r="36">
      <c r="A36" s="9" t="n">
        <v>35</v>
      </c>
      <c r="B36" s="9" t="inlineStr">
        <is>
          <t>נאווה רוזוליו</t>
        </is>
      </c>
      <c r="C36" s="9" t="n">
        <v>3.5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5</v>
      </c>
      <c r="J36" s="9" t="n">
        <v>4</v>
      </c>
      <c r="K36" s="9" t="n">
        <v>5</v>
      </c>
      <c r="L36" s="9" t="n">
        <v>4</v>
      </c>
      <c r="M36" s="9" t="n">
        <v>2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  <c r="AI36" s="9" t="n">
        <v>1</v>
      </c>
      <c r="AJ36" s="9" t="n">
        <v>1</v>
      </c>
      <c r="AK36" s="9" t="n">
        <v>1</v>
      </c>
      <c r="AL36" s="9" t="n">
        <v>1</v>
      </c>
      <c r="AM36" s="9" t="n">
        <v>1</v>
      </c>
      <c r="AN36" s="9" t="n">
        <v>1</v>
      </c>
      <c r="AO36" s="9" t="n">
        <v>1</v>
      </c>
      <c r="AP36" s="9" t="n">
        <v>1</v>
      </c>
      <c r="AQ36" s="9" t="n">
        <v>1</v>
      </c>
      <c r="AR36" s="9" t="n">
        <v>3</v>
      </c>
      <c r="AS36" s="9" t="n">
        <v>2</v>
      </c>
      <c r="AT36" s="9" t="n">
        <v>3</v>
      </c>
      <c r="AU36" s="9" t="n">
        <v>2</v>
      </c>
      <c r="AV36" s="9" t="n">
        <v>1</v>
      </c>
      <c r="AW36" s="9" t="n">
        <v>1</v>
      </c>
      <c r="AX36" s="9" t="n">
        <v>1</v>
      </c>
      <c r="AY36" s="9" t="n">
        <v>1</v>
      </c>
      <c r="AZ36" s="9" t="n">
        <v>1</v>
      </c>
      <c r="BA36" s="9" t="n">
        <v>1</v>
      </c>
    </row>
    <row r="37">
      <c r="A37" s="9" t="n">
        <v>36</v>
      </c>
      <c r="B37" s="9" t="inlineStr">
        <is>
          <t>מאלכ בדר</t>
        </is>
      </c>
      <c r="C37" s="9" t="n">
        <v>3.5</v>
      </c>
      <c r="D37" s="9" t="n">
        <v>1</v>
      </c>
      <c r="E37" s="9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5</v>
      </c>
      <c r="Y37" s="9" t="n">
        <v>2</v>
      </c>
      <c r="Z37" s="9" t="n">
        <v>4</v>
      </c>
      <c r="AA37" s="9" t="n">
        <v>3</v>
      </c>
      <c r="AB37" s="9" t="n">
        <v>2</v>
      </c>
      <c r="AC37" s="9" t="n">
        <v>3</v>
      </c>
      <c r="AD37" s="9" t="n">
        <v>1</v>
      </c>
      <c r="AE37" s="9" t="n">
        <v>3</v>
      </c>
      <c r="AF37" s="9" t="n">
        <v>3</v>
      </c>
      <c r="AG37" s="9" t="n">
        <v>2</v>
      </c>
      <c r="AH37" s="9" t="n">
        <v>1</v>
      </c>
      <c r="AI37" s="9" t="n">
        <v>1</v>
      </c>
      <c r="AJ37" s="9" t="n">
        <v>1</v>
      </c>
      <c r="AK37" s="9" t="n">
        <v>1</v>
      </c>
      <c r="AL37" s="9" t="n">
        <v>1</v>
      </c>
      <c r="AM37" s="9" t="n">
        <v>1</v>
      </c>
      <c r="AN37" s="9" t="n">
        <v>1</v>
      </c>
      <c r="AO37" s="9" t="n">
        <v>1</v>
      </c>
      <c r="AP37" s="9" t="n">
        <v>1</v>
      </c>
      <c r="AQ37" s="9" t="n">
        <v>1</v>
      </c>
      <c r="AR37" s="9" t="n">
        <v>1</v>
      </c>
      <c r="AS37" s="9" t="n">
        <v>1</v>
      </c>
      <c r="AT37" s="9" t="n">
        <v>1</v>
      </c>
      <c r="AU37" s="9" t="n">
        <v>1</v>
      </c>
      <c r="AV37" s="9" t="n">
        <v>1</v>
      </c>
      <c r="AW37" s="9" t="n">
        <v>1</v>
      </c>
      <c r="AX37" s="9" t="n">
        <v>1</v>
      </c>
      <c r="AY37" s="9" t="n">
        <v>1</v>
      </c>
      <c r="AZ37" s="9" t="n">
        <v>1</v>
      </c>
      <c r="BA37" s="9" t="n">
        <v>1</v>
      </c>
    </row>
    <row r="38">
      <c r="A38" s="9" t="n">
        <v>37</v>
      </c>
      <c r="B38" s="9" t="inlineStr">
        <is>
          <t>איתי לשם</t>
        </is>
      </c>
      <c r="C38" s="9" t="n">
        <v>4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4</v>
      </c>
      <c r="J38" s="9" t="n">
        <v>2</v>
      </c>
      <c r="K38" s="9" t="n">
        <v>2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9" t="n">
        <v>1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1</v>
      </c>
      <c r="AC38" s="9" t="n">
        <v>1</v>
      </c>
      <c r="AD38" s="9" t="n">
        <v>1</v>
      </c>
      <c r="AE38" s="9" t="n">
        <v>1</v>
      </c>
      <c r="AF38" s="9" t="n">
        <v>1</v>
      </c>
      <c r="AG38" s="9" t="n">
        <v>1</v>
      </c>
      <c r="AH38" s="9" t="n">
        <v>1</v>
      </c>
      <c r="AI38" s="9" t="n">
        <v>1</v>
      </c>
      <c r="AJ38" s="9" t="n">
        <v>1</v>
      </c>
      <c r="AK38" s="9" t="n">
        <v>1</v>
      </c>
      <c r="AL38" s="9" t="n">
        <v>1</v>
      </c>
      <c r="AM38" s="9" t="n">
        <v>1</v>
      </c>
      <c r="AN38" s="9" t="n">
        <v>1</v>
      </c>
      <c r="AO38" s="9" t="n">
        <v>1</v>
      </c>
      <c r="AP38" s="9" t="n">
        <v>1</v>
      </c>
      <c r="AQ38" s="9" t="n">
        <v>1</v>
      </c>
      <c r="AR38" s="9" t="n">
        <v>5</v>
      </c>
      <c r="AS38" s="9" t="n">
        <v>3</v>
      </c>
      <c r="AT38" s="9" t="n">
        <v>4</v>
      </c>
      <c r="AU38" s="9" t="n">
        <v>2</v>
      </c>
      <c r="AV38" s="9" t="n">
        <v>1</v>
      </c>
      <c r="AW38" s="9" t="n">
        <v>1</v>
      </c>
      <c r="AX38" s="9" t="n">
        <v>1</v>
      </c>
      <c r="AY38" s="9" t="n">
        <v>1</v>
      </c>
      <c r="AZ38" s="9" t="n">
        <v>1</v>
      </c>
      <c r="BA38" s="9" t="n">
        <v>1</v>
      </c>
    </row>
    <row r="39">
      <c r="A39" s="9" t="n">
        <v>38</v>
      </c>
      <c r="B39" s="9" t="inlineStr">
        <is>
          <t>גלעד קריב</t>
        </is>
      </c>
      <c r="C39" s="9" t="n">
        <v>5</v>
      </c>
      <c r="D39" s="9" t="n">
        <v>1</v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5</v>
      </c>
      <c r="J39" s="9" t="n">
        <v>4</v>
      </c>
      <c r="K39" s="9" t="n">
        <v>5</v>
      </c>
      <c r="L39" s="9" t="n">
        <v>4</v>
      </c>
      <c r="M39" s="9" t="n">
        <v>3</v>
      </c>
      <c r="N39" s="9" t="n">
        <v>5</v>
      </c>
      <c r="O39" s="9" t="n">
        <v>5</v>
      </c>
      <c r="P39" s="9" t="n">
        <v>5</v>
      </c>
      <c r="Q39" s="9" t="n">
        <v>5</v>
      </c>
      <c r="R39" s="9" t="n">
        <v>3</v>
      </c>
      <c r="S39" s="9" t="n">
        <v>3</v>
      </c>
      <c r="T39" s="9" t="n">
        <v>2</v>
      </c>
      <c r="U39" s="9" t="n">
        <v>2</v>
      </c>
      <c r="V39" s="9" t="n">
        <v>2</v>
      </c>
      <c r="W39" s="9" t="n">
        <v>2</v>
      </c>
      <c r="X39" s="9" t="n">
        <v>3</v>
      </c>
      <c r="Y39" s="9" t="n">
        <v>3</v>
      </c>
      <c r="Z39" s="9" t="n">
        <v>3</v>
      </c>
      <c r="AA39" s="9" t="n">
        <v>2</v>
      </c>
      <c r="AB39" s="9" t="n">
        <v>2</v>
      </c>
      <c r="AC39" s="9" t="n">
        <v>1</v>
      </c>
      <c r="AD39" s="9" t="n">
        <v>1</v>
      </c>
      <c r="AE39" s="9" t="n">
        <v>1</v>
      </c>
      <c r="AF39" s="9" t="n">
        <v>1</v>
      </c>
      <c r="AG39" s="9" t="n">
        <v>1</v>
      </c>
      <c r="AH39" s="9" t="n">
        <v>1</v>
      </c>
      <c r="AI39" s="9" t="n">
        <v>1</v>
      </c>
      <c r="AJ39" s="9" t="n">
        <v>1</v>
      </c>
      <c r="AK39" s="9" t="n">
        <v>1</v>
      </c>
      <c r="AL39" s="9" t="n">
        <v>1</v>
      </c>
      <c r="AM39" s="9" t="n">
        <v>1</v>
      </c>
      <c r="AN39" s="9" t="n">
        <v>1</v>
      </c>
      <c r="AO39" s="9" t="n">
        <v>1</v>
      </c>
      <c r="AP39" s="9" t="n">
        <v>1</v>
      </c>
      <c r="AQ39" s="9" t="n">
        <v>1</v>
      </c>
      <c r="AR39" s="9" t="n">
        <v>1</v>
      </c>
      <c r="AS39" s="9" t="n">
        <v>1</v>
      </c>
      <c r="AT39" s="9" t="n">
        <v>1</v>
      </c>
      <c r="AU39" s="9" t="n">
        <v>1</v>
      </c>
      <c r="AV39" s="9" t="n">
        <v>1</v>
      </c>
      <c r="AW39" s="9" t="n">
        <v>1</v>
      </c>
      <c r="AX39" s="9" t="n">
        <v>1</v>
      </c>
      <c r="AY39" s="9" t="n">
        <v>1</v>
      </c>
      <c r="AZ39" s="9" t="n">
        <v>1</v>
      </c>
      <c r="BA39" s="9" t="n">
        <v>1</v>
      </c>
    </row>
    <row r="40">
      <c r="A40" s="9" t="n">
        <v>39</v>
      </c>
      <c r="B40" s="9" t="inlineStr">
        <is>
          <t>גאלב סלאמנה</t>
        </is>
      </c>
      <c r="C40" s="9" t="n">
        <v>3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1</v>
      </c>
      <c r="I40" s="9" t="n">
        <v>3</v>
      </c>
      <c r="J40" s="9" t="n">
        <v>2</v>
      </c>
      <c r="K40" s="9" t="n">
        <v>4</v>
      </c>
      <c r="L40" s="9" t="n">
        <v>3</v>
      </c>
      <c r="M40" s="9" t="n">
        <v>1</v>
      </c>
      <c r="N40" s="9" t="n">
        <v>1</v>
      </c>
      <c r="O40" s="9" t="n">
        <v>1</v>
      </c>
      <c r="P40" s="9" t="n">
        <v>1</v>
      </c>
      <c r="Q40" s="9" t="n">
        <v>1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4</v>
      </c>
      <c r="Y40" s="9" t="n">
        <v>2</v>
      </c>
      <c r="Z40" s="9" t="n">
        <v>3</v>
      </c>
      <c r="AA40" s="9" t="n">
        <v>1</v>
      </c>
      <c r="AB40" s="9" t="n">
        <v>1</v>
      </c>
      <c r="AC40" s="9" t="n">
        <v>1</v>
      </c>
      <c r="AD40" s="9" t="n">
        <v>1</v>
      </c>
      <c r="AE40" s="9" t="n">
        <v>1</v>
      </c>
      <c r="AF40" s="9" t="n">
        <v>1</v>
      </c>
      <c r="AG40" s="9" t="n"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9" t="n">
        <v>1</v>
      </c>
      <c r="AM40" s="9" t="n">
        <v>1</v>
      </c>
      <c r="AN40" s="9" t="n">
        <v>1</v>
      </c>
      <c r="AO40" s="9" t="n">
        <v>1</v>
      </c>
      <c r="AP40" s="9" t="n">
        <v>1</v>
      </c>
      <c r="AQ40" s="9" t="n">
        <v>1</v>
      </c>
      <c r="AR40" s="9" t="n">
        <v>1</v>
      </c>
      <c r="AS40" s="9" t="n">
        <v>1</v>
      </c>
      <c r="AT40" s="9" t="n">
        <v>1</v>
      </c>
      <c r="AU40" s="9" t="n">
        <v>1</v>
      </c>
      <c r="AV40" s="9" t="n">
        <v>1</v>
      </c>
      <c r="AW40" s="9" t="n">
        <v>1</v>
      </c>
      <c r="AX40" s="9" t="n">
        <v>1</v>
      </c>
      <c r="AY40" s="9" t="n">
        <v>1</v>
      </c>
      <c r="AZ40" s="9" t="n">
        <v>1</v>
      </c>
      <c r="BA40" s="9" t="n">
        <v>1</v>
      </c>
    </row>
    <row r="41">
      <c r="A41" s="9" t="n">
        <v>40</v>
      </c>
      <c r="B41" s="9" t="inlineStr">
        <is>
          <t>יואב אגמי</t>
        </is>
      </c>
      <c r="C41" s="9" t="n">
        <v>1.5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  <c r="P41" s="9" t="n">
        <v>1</v>
      </c>
      <c r="Q41" s="9" t="n">
        <v>1</v>
      </c>
      <c r="R41" s="9" t="n">
        <v>1</v>
      </c>
      <c r="S41" s="9" t="n">
        <v>1</v>
      </c>
      <c r="T41" s="9" t="n">
        <v>1</v>
      </c>
      <c r="U41" s="9" t="n">
        <v>1</v>
      </c>
      <c r="V41" s="9" t="n">
        <v>1</v>
      </c>
      <c r="W41" s="9" t="n">
        <v>1</v>
      </c>
      <c r="X41" s="9" t="n">
        <v>1</v>
      </c>
      <c r="Y41" s="9" t="n">
        <v>1</v>
      </c>
      <c r="Z41" s="9" t="n">
        <v>1</v>
      </c>
      <c r="AA41" s="9" t="n">
        <v>1</v>
      </c>
      <c r="AB41" s="9" t="n">
        <v>1</v>
      </c>
      <c r="AC41" s="9" t="n">
        <v>1</v>
      </c>
      <c r="AD41" s="9" t="n">
        <v>1</v>
      </c>
      <c r="AE41" s="9" t="n">
        <v>1</v>
      </c>
      <c r="AF41" s="9" t="n">
        <v>1</v>
      </c>
      <c r="AG41" s="9" t="n">
        <v>1</v>
      </c>
      <c r="AH41" s="9" t="n">
        <v>1</v>
      </c>
      <c r="AI41" s="9" t="n">
        <v>1</v>
      </c>
      <c r="AJ41" s="9" t="n">
        <v>1</v>
      </c>
      <c r="AK41" s="9" t="n">
        <v>1</v>
      </c>
      <c r="AL41" s="9" t="n">
        <v>1</v>
      </c>
      <c r="AM41" s="9" t="n">
        <v>1</v>
      </c>
      <c r="AN41" s="9" t="n">
        <v>1</v>
      </c>
      <c r="AO41" s="9" t="n">
        <v>1</v>
      </c>
      <c r="AP41" s="9" t="n">
        <v>1</v>
      </c>
      <c r="AQ41" s="9" t="n">
        <v>1</v>
      </c>
      <c r="AR41" s="9" t="n">
        <v>4</v>
      </c>
      <c r="AS41" s="9" t="n">
        <v>1</v>
      </c>
      <c r="AT41" s="9" t="n">
        <v>2</v>
      </c>
      <c r="AU41" s="9" t="n">
        <v>1</v>
      </c>
      <c r="AV41" s="9" t="n">
        <v>1</v>
      </c>
      <c r="AW41" s="9" t="n">
        <v>1</v>
      </c>
      <c r="AX41" s="9" t="n">
        <v>1</v>
      </c>
      <c r="AY41" s="9" t="n">
        <v>1</v>
      </c>
      <c r="AZ41" s="9" t="n">
        <v>1</v>
      </c>
      <c r="BA41" s="9" t="n">
        <v>1</v>
      </c>
    </row>
    <row r="42">
      <c r="A42" s="9" t="n">
        <v>41</v>
      </c>
      <c r="B42" s="9" t="inlineStr">
        <is>
          <t>אמילי מואטי</t>
        </is>
      </c>
      <c r="C42" s="9" t="n">
        <v>4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4</v>
      </c>
      <c r="T42" s="9" t="n">
        <v>3</v>
      </c>
      <c r="U42" s="9" t="n">
        <v>4</v>
      </c>
      <c r="V42" s="9" t="n">
        <v>3</v>
      </c>
      <c r="W42" s="9" t="n">
        <v>2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3</v>
      </c>
      <c r="AD42" s="9" t="n">
        <v>2</v>
      </c>
      <c r="AE42" s="9" t="n">
        <v>3</v>
      </c>
      <c r="AF42" s="9" t="n">
        <v>2</v>
      </c>
      <c r="AG42" s="9" t="n">
        <v>2</v>
      </c>
      <c r="AH42" s="9" t="n">
        <v>1</v>
      </c>
      <c r="AI42" s="9" t="n">
        <v>1</v>
      </c>
      <c r="AJ42" s="9" t="n">
        <v>1</v>
      </c>
      <c r="AK42" s="9" t="n">
        <v>1</v>
      </c>
      <c r="AL42" s="9" t="n">
        <v>1</v>
      </c>
      <c r="AM42" s="9" t="n">
        <v>1</v>
      </c>
      <c r="AN42" s="9" t="n">
        <v>1</v>
      </c>
      <c r="AO42" s="9" t="n">
        <v>1</v>
      </c>
      <c r="AP42" s="9" t="n">
        <v>1</v>
      </c>
      <c r="AQ42" s="9" t="n">
        <v>1</v>
      </c>
      <c r="AR42" s="9" t="n">
        <v>1</v>
      </c>
      <c r="AS42" s="9" t="n">
        <v>1</v>
      </c>
      <c r="AT42" s="9" t="n">
        <v>1</v>
      </c>
      <c r="AU42" s="9" t="n">
        <v>1</v>
      </c>
      <c r="AV42" s="9" t="n">
        <v>1</v>
      </c>
      <c r="AW42" s="9" t="n">
        <v>3</v>
      </c>
      <c r="AX42" s="9" t="n">
        <v>2</v>
      </c>
      <c r="AY42" s="9" t="n">
        <v>2</v>
      </c>
      <c r="AZ42" s="9" t="n">
        <v>2</v>
      </c>
      <c r="BA42" s="9" t="n">
        <v>2</v>
      </c>
    </row>
    <row r="43">
      <c r="A43" s="9" t="n">
        <v>42</v>
      </c>
      <c r="B43" s="9" t="inlineStr">
        <is>
          <t>אביתר באר</t>
        </is>
      </c>
      <c r="C43" s="9" t="n">
        <v>2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3</v>
      </c>
      <c r="Y43" s="9" t="n">
        <v>1</v>
      </c>
      <c r="Z43" s="9" t="n">
        <v>2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  <c r="AI43" s="9" t="n">
        <v>1</v>
      </c>
      <c r="AJ43" s="9" t="n">
        <v>1</v>
      </c>
      <c r="AK43" s="9" t="n">
        <v>1</v>
      </c>
      <c r="AL43" s="9" t="n">
        <v>1</v>
      </c>
      <c r="AM43" s="9" t="n">
        <v>4</v>
      </c>
      <c r="AN43" s="9" t="n">
        <v>1</v>
      </c>
      <c r="AO43" s="9" t="n">
        <v>3</v>
      </c>
      <c r="AP43" s="9" t="n">
        <v>1</v>
      </c>
      <c r="AQ43" s="9" t="n">
        <v>1</v>
      </c>
      <c r="AR43" s="9" t="n">
        <v>1</v>
      </c>
      <c r="AS43" s="9" t="n">
        <v>1</v>
      </c>
      <c r="AT43" s="9" t="n">
        <v>1</v>
      </c>
      <c r="AU43" s="9" t="n">
        <v>1</v>
      </c>
      <c r="AV43" s="9" t="n">
        <v>1</v>
      </c>
      <c r="AW43" s="9" t="n">
        <v>1</v>
      </c>
      <c r="AX43" s="9" t="n">
        <v>1</v>
      </c>
      <c r="AY43" s="9" t="n">
        <v>1</v>
      </c>
      <c r="AZ43" s="9" t="n">
        <v>1</v>
      </c>
      <c r="BA43" s="9" t="n">
        <v>1</v>
      </c>
    </row>
    <row r="44">
      <c r="A44" s="9" t="n">
        <v>43</v>
      </c>
      <c r="B44" s="9" t="inlineStr">
        <is>
          <t>תומר אביטל</t>
        </is>
      </c>
      <c r="C44" s="9" t="n">
        <v>4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4</v>
      </c>
      <c r="J44" s="9" t="n">
        <v>3</v>
      </c>
      <c r="K44" s="9" t="n">
        <v>3</v>
      </c>
      <c r="L44" s="9" t="n">
        <v>3</v>
      </c>
      <c r="M44" s="9" t="n">
        <v>2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3</v>
      </c>
      <c r="AD44" s="9" t="n">
        <v>2</v>
      </c>
      <c r="AE44" s="9" t="n">
        <v>3</v>
      </c>
      <c r="AF44" s="9" t="n">
        <v>3</v>
      </c>
      <c r="AG44" s="9" t="n">
        <v>2</v>
      </c>
      <c r="AH44" s="9" t="n">
        <v>1</v>
      </c>
      <c r="AI44" s="9" t="n">
        <v>1</v>
      </c>
      <c r="AJ44" s="9" t="n">
        <v>1</v>
      </c>
      <c r="AK44" s="9" t="n">
        <v>1</v>
      </c>
      <c r="AL44" s="9" t="n">
        <v>1</v>
      </c>
      <c r="AM44" s="9" t="n">
        <v>1</v>
      </c>
      <c r="AN44" s="9" t="n">
        <v>1</v>
      </c>
      <c r="AO44" s="9" t="n">
        <v>1</v>
      </c>
      <c r="AP44" s="9" t="n">
        <v>1</v>
      </c>
      <c r="AQ44" s="9" t="n">
        <v>1</v>
      </c>
      <c r="AR44" s="9" t="n">
        <v>5</v>
      </c>
      <c r="AS44" s="9" t="n">
        <v>5</v>
      </c>
      <c r="AT44" s="9" t="n">
        <v>5</v>
      </c>
      <c r="AU44" s="9" t="n">
        <v>5</v>
      </c>
      <c r="AV44" s="9" t="n">
        <v>4</v>
      </c>
      <c r="AW44" s="9" t="n">
        <v>1</v>
      </c>
      <c r="AX44" s="9" t="n">
        <v>1</v>
      </c>
      <c r="AY44" s="9" t="n">
        <v>1</v>
      </c>
      <c r="AZ44" s="9" t="n">
        <v>1</v>
      </c>
      <c r="BA44" s="9" t="n">
        <v>1</v>
      </c>
    </row>
    <row r="45">
      <c r="A45" s="9" t="n">
        <v>44</v>
      </c>
      <c r="B45" s="9" t="inlineStr">
        <is>
          <t>סומיה בשיר</t>
        </is>
      </c>
      <c r="C45" s="9" t="n">
        <v>4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5</v>
      </c>
      <c r="Y45" s="9" t="n">
        <v>3</v>
      </c>
      <c r="Z45" s="9" t="n">
        <v>4</v>
      </c>
      <c r="AA45" s="9" t="n">
        <v>3</v>
      </c>
      <c r="AB45" s="9" t="n">
        <v>2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3</v>
      </c>
      <c r="AI45" s="9" t="n">
        <v>1</v>
      </c>
      <c r="AJ45" s="9" t="n">
        <v>3</v>
      </c>
      <c r="AK45" s="9" t="n">
        <v>2</v>
      </c>
      <c r="AL45" s="9" t="n">
        <v>1</v>
      </c>
      <c r="AM45" s="9" t="n">
        <v>1</v>
      </c>
      <c r="AN45" s="9" t="n">
        <v>1</v>
      </c>
      <c r="AO45" s="9" t="n">
        <v>1</v>
      </c>
      <c r="AP45" s="9" t="n">
        <v>1</v>
      </c>
      <c r="AQ45" s="9" t="n">
        <v>1</v>
      </c>
      <c r="AR45" s="9" t="n">
        <v>1</v>
      </c>
      <c r="AS45" s="9" t="n">
        <v>1</v>
      </c>
      <c r="AT45" s="9" t="n">
        <v>1</v>
      </c>
      <c r="AU45" s="9" t="n">
        <v>1</v>
      </c>
      <c r="AV45" s="9" t="n">
        <v>1</v>
      </c>
      <c r="AW45" s="9" t="n">
        <v>2</v>
      </c>
      <c r="AX45" s="9" t="n">
        <v>2</v>
      </c>
      <c r="AY45" s="9" t="n">
        <v>2</v>
      </c>
      <c r="AZ45" s="9" t="n">
        <v>2</v>
      </c>
      <c r="BA45" s="9" t="n">
        <v>1</v>
      </c>
    </row>
    <row r="46">
      <c r="A46" s="9" t="n">
        <v>45</v>
      </c>
      <c r="B46" s="9" t="inlineStr">
        <is>
          <t>מורן מישל</t>
        </is>
      </c>
      <c r="C46" s="9" t="n">
        <v>4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4</v>
      </c>
      <c r="J46" s="9" t="n">
        <v>2</v>
      </c>
      <c r="K46" s="9" t="n">
        <v>4</v>
      </c>
      <c r="L46" s="9" t="n">
        <v>3</v>
      </c>
      <c r="M46" s="9" t="n">
        <v>2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3</v>
      </c>
      <c r="AD46" s="9" t="n">
        <v>1</v>
      </c>
      <c r="AE46" s="9" t="n">
        <v>3</v>
      </c>
      <c r="AF46" s="9" t="n">
        <v>2</v>
      </c>
      <c r="AG46" s="9" t="n">
        <v>1</v>
      </c>
      <c r="AH46" s="9" t="n">
        <v>1</v>
      </c>
      <c r="AI46" s="9" t="n">
        <v>1</v>
      </c>
      <c r="AJ46" s="9" t="n">
        <v>1</v>
      </c>
      <c r="AK46" s="9" t="n">
        <v>1</v>
      </c>
      <c r="AL46" s="9" t="n">
        <v>1</v>
      </c>
      <c r="AM46" s="9" t="n">
        <v>1</v>
      </c>
      <c r="AN46" s="9" t="n">
        <v>1</v>
      </c>
      <c r="AO46" s="9" t="n">
        <v>1</v>
      </c>
      <c r="AP46" s="9" t="n">
        <v>1</v>
      </c>
      <c r="AQ46" s="9" t="n">
        <v>1</v>
      </c>
      <c r="AR46" s="9" t="n">
        <v>1</v>
      </c>
      <c r="AS46" s="9" t="n">
        <v>1</v>
      </c>
      <c r="AT46" s="9" t="n">
        <v>1</v>
      </c>
      <c r="AU46" s="9" t="n">
        <v>1</v>
      </c>
      <c r="AV46" s="9" t="n">
        <v>1</v>
      </c>
      <c r="AW46" s="9" t="n">
        <v>1</v>
      </c>
      <c r="AX46" s="9" t="n">
        <v>1</v>
      </c>
      <c r="AY46" s="9" t="n">
        <v>1</v>
      </c>
      <c r="AZ46" s="9" t="n">
        <v>1</v>
      </c>
      <c r="BA46" s="9" t="n">
        <v>1</v>
      </c>
    </row>
    <row r="47">
      <c r="A47" s="9" t="n">
        <v>46</v>
      </c>
      <c r="B47" s="9" t="inlineStr">
        <is>
          <t>גבי לסקי</t>
        </is>
      </c>
      <c r="C47" s="9" t="n">
        <v>4.5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5</v>
      </c>
      <c r="J47" s="9" t="n">
        <v>4</v>
      </c>
      <c r="K47" s="9" t="n">
        <v>5</v>
      </c>
      <c r="L47" s="9" t="n">
        <v>4</v>
      </c>
      <c r="M47" s="9" t="n">
        <v>3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4</v>
      </c>
      <c r="T47" s="9" t="n">
        <v>3</v>
      </c>
      <c r="U47" s="9" t="n">
        <v>4</v>
      </c>
      <c r="V47" s="9" t="n">
        <v>3</v>
      </c>
      <c r="W47" s="9" t="n">
        <v>3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  <c r="AI47" s="9" t="n">
        <v>1</v>
      </c>
      <c r="AJ47" s="9" t="n">
        <v>1</v>
      </c>
      <c r="AK47" s="9" t="n">
        <v>1</v>
      </c>
      <c r="AL47" s="9" t="n">
        <v>1</v>
      </c>
      <c r="AM47" s="9" t="n">
        <v>1</v>
      </c>
      <c r="AN47" s="9" t="n">
        <v>1</v>
      </c>
      <c r="AO47" s="9" t="n">
        <v>1</v>
      </c>
      <c r="AP47" s="9" t="n">
        <v>1</v>
      </c>
      <c r="AQ47" s="9" t="n">
        <v>1</v>
      </c>
      <c r="AR47" s="9" t="n">
        <v>1</v>
      </c>
      <c r="AS47" s="9" t="n">
        <v>1</v>
      </c>
      <c r="AT47" s="9" t="n">
        <v>1</v>
      </c>
      <c r="AU47" s="9" t="n">
        <v>1</v>
      </c>
      <c r="AV47" s="9" t="n">
        <v>1</v>
      </c>
      <c r="AW47" s="9" t="n">
        <v>4</v>
      </c>
      <c r="AX47" s="9" t="n">
        <v>2</v>
      </c>
      <c r="AY47" s="9" t="n">
        <v>3</v>
      </c>
      <c r="AZ47" s="9" t="n">
        <v>3</v>
      </c>
      <c r="BA47" s="9" t="n">
        <v>2</v>
      </c>
    </row>
    <row r="48">
      <c r="A48" s="9" t="n">
        <v>47</v>
      </c>
      <c r="B48" s="9" t="inlineStr">
        <is>
          <t>נעמה לזימי</t>
        </is>
      </c>
      <c r="C48" s="9" t="n">
        <v>5</v>
      </c>
      <c r="D48" s="9" t="n">
        <v>1</v>
      </c>
      <c r="E48" s="9" t="n">
        <v>1</v>
      </c>
      <c r="F48" s="9" t="n">
        <v>1</v>
      </c>
      <c r="G48" s="9" t="n">
        <v>1</v>
      </c>
      <c r="H48" s="9" t="n">
        <v>1</v>
      </c>
      <c r="I48" s="9" t="n">
        <v>4</v>
      </c>
      <c r="J48" s="9" t="n">
        <v>3</v>
      </c>
      <c r="K48" s="9" t="n">
        <v>4</v>
      </c>
      <c r="L48" s="9" t="n">
        <v>3</v>
      </c>
      <c r="M48" s="9" t="n">
        <v>2</v>
      </c>
      <c r="N48" s="9" t="n">
        <v>4</v>
      </c>
      <c r="O48" s="9" t="n">
        <v>3</v>
      </c>
      <c r="P48" s="9" t="n">
        <v>4</v>
      </c>
      <c r="Q48" s="9" t="n">
        <v>2</v>
      </c>
      <c r="R48" s="9" t="n">
        <v>1</v>
      </c>
      <c r="S48" s="9" t="n">
        <v>1</v>
      </c>
      <c r="T48" s="9" t="n">
        <v>1</v>
      </c>
      <c r="U48" s="9" t="n">
        <v>1</v>
      </c>
      <c r="V48" s="9" t="n">
        <v>1</v>
      </c>
      <c r="W48" s="9" t="n">
        <v>1</v>
      </c>
      <c r="X48" s="9" t="n">
        <v>1</v>
      </c>
      <c r="Y48" s="9" t="n">
        <v>1</v>
      </c>
      <c r="Z48" s="9" t="n">
        <v>1</v>
      </c>
      <c r="AA48" s="9" t="n">
        <v>1</v>
      </c>
      <c r="AB48" s="9" t="n">
        <v>1</v>
      </c>
      <c r="AC48" s="9" t="n">
        <v>5</v>
      </c>
      <c r="AD48" s="9" t="n">
        <v>5</v>
      </c>
      <c r="AE48" s="9" t="n">
        <v>5</v>
      </c>
      <c r="AF48" s="9" t="n">
        <v>4</v>
      </c>
      <c r="AG48" s="9" t="n">
        <v>4</v>
      </c>
      <c r="AH48" s="9" t="n">
        <v>3</v>
      </c>
      <c r="AI48" s="9" t="n">
        <v>2</v>
      </c>
      <c r="AJ48" s="9" t="n">
        <v>3</v>
      </c>
      <c r="AK48" s="9" t="n">
        <v>2</v>
      </c>
      <c r="AL48" s="9" t="n">
        <v>2</v>
      </c>
      <c r="AM48" s="9" t="n">
        <v>1</v>
      </c>
      <c r="AN48" s="9" t="n">
        <v>1</v>
      </c>
      <c r="AO48" s="9" t="n">
        <v>1</v>
      </c>
      <c r="AP48" s="9" t="n">
        <v>1</v>
      </c>
      <c r="AQ48" s="9" t="n">
        <v>1</v>
      </c>
      <c r="AR48" s="9" t="n">
        <v>1</v>
      </c>
      <c r="AS48" s="9" t="n">
        <v>1</v>
      </c>
      <c r="AT48" s="9" t="n">
        <v>1</v>
      </c>
      <c r="AU48" s="9" t="n">
        <v>1</v>
      </c>
      <c r="AV48" s="9" t="n">
        <v>1</v>
      </c>
      <c r="AW48" s="9" t="n">
        <v>4</v>
      </c>
      <c r="AX48" s="9" t="n">
        <v>3</v>
      </c>
      <c r="AY48" s="9" t="n">
        <v>4</v>
      </c>
      <c r="AZ48" s="9" t="n">
        <v>3</v>
      </c>
      <c r="BA48" s="9" t="n">
        <v>2</v>
      </c>
    </row>
    <row r="49">
      <c r="A49" s="9" t="n">
        <v>48</v>
      </c>
      <c r="B49" s="9" t="inlineStr">
        <is>
          <t>איהאב שליאן</t>
        </is>
      </c>
      <c r="C49" s="9" t="n">
        <v>3</v>
      </c>
      <c r="D49" s="9" t="n">
        <v>3</v>
      </c>
      <c r="E49" s="9" t="n">
        <v>1</v>
      </c>
      <c r="F49" s="9" t="n">
        <v>3</v>
      </c>
      <c r="G49" s="9" t="n">
        <v>3</v>
      </c>
      <c r="H49" s="9" t="n">
        <v>2</v>
      </c>
      <c r="I49" s="9" t="n">
        <v>1</v>
      </c>
      <c r="J49" s="9" t="n">
        <v>1</v>
      </c>
      <c r="K49" s="9" t="n">
        <v>1</v>
      </c>
      <c r="L49" s="9" t="n">
        <v>1</v>
      </c>
      <c r="M49" s="9" t="n">
        <v>1</v>
      </c>
      <c r="N49" s="9" t="n">
        <v>1</v>
      </c>
      <c r="O49" s="9" t="n">
        <v>1</v>
      </c>
      <c r="P49" s="9" t="n">
        <v>1</v>
      </c>
      <c r="Q49" s="9" t="n">
        <v>1</v>
      </c>
      <c r="R49" s="9" t="n">
        <v>1</v>
      </c>
      <c r="S49" s="9" t="n">
        <v>1</v>
      </c>
      <c r="T49" s="9" t="n">
        <v>1</v>
      </c>
      <c r="U49" s="9" t="n">
        <v>1</v>
      </c>
      <c r="V49" s="9" t="n">
        <v>1</v>
      </c>
      <c r="W49" s="9" t="n">
        <v>1</v>
      </c>
      <c r="X49" s="9" t="n">
        <v>4</v>
      </c>
      <c r="Y49" s="9" t="n">
        <v>2</v>
      </c>
      <c r="Z49" s="9" t="n">
        <v>3</v>
      </c>
      <c r="AA49" s="9" t="n">
        <v>3</v>
      </c>
      <c r="AB49" s="9" t="n">
        <v>2</v>
      </c>
      <c r="AC49" s="9" t="n">
        <v>1</v>
      </c>
      <c r="AD49" s="9" t="n">
        <v>1</v>
      </c>
      <c r="AE49" s="9" t="n">
        <v>1</v>
      </c>
      <c r="AF49" s="9" t="n">
        <v>1</v>
      </c>
      <c r="AG49" s="9" t="n">
        <v>1</v>
      </c>
      <c r="AH49" s="9" t="n">
        <v>1</v>
      </c>
      <c r="AI49" s="9" t="n">
        <v>1</v>
      </c>
      <c r="AJ49" s="9" t="n">
        <v>1</v>
      </c>
      <c r="AK49" s="9" t="n">
        <v>1</v>
      </c>
      <c r="AL49" s="9" t="n">
        <v>1</v>
      </c>
      <c r="AM49" s="9" t="n">
        <v>1</v>
      </c>
      <c r="AN49" s="9" t="n">
        <v>1</v>
      </c>
      <c r="AO49" s="9" t="n">
        <v>1</v>
      </c>
      <c r="AP49" s="9" t="n">
        <v>1</v>
      </c>
      <c r="AQ49" s="9" t="n">
        <v>1</v>
      </c>
      <c r="AR49" s="9" t="n">
        <v>1</v>
      </c>
      <c r="AS49" s="9" t="n">
        <v>1</v>
      </c>
      <c r="AT49" s="9" t="n">
        <v>1</v>
      </c>
      <c r="AU49" s="9" t="n">
        <v>1</v>
      </c>
      <c r="AV49" s="9" t="n">
        <v>1</v>
      </c>
      <c r="AW49" s="9" t="n">
        <v>1</v>
      </c>
      <c r="AX49" s="9" t="n">
        <v>1</v>
      </c>
      <c r="AY49" s="9" t="n">
        <v>1</v>
      </c>
      <c r="AZ49" s="9" t="n">
        <v>1</v>
      </c>
      <c r="BA49" s="9" t="n">
        <v>1</v>
      </c>
    </row>
    <row r="50">
      <c r="A50" s="9" t="n">
        <v>49</v>
      </c>
      <c r="B50" s="9" t="inlineStr">
        <is>
          <t>מוסי רז</t>
        </is>
      </c>
      <c r="C50" s="9" t="n">
        <v>4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4</v>
      </c>
      <c r="J50" s="9" t="n">
        <v>3</v>
      </c>
      <c r="K50" s="9" t="n">
        <v>4</v>
      </c>
      <c r="L50" s="9" t="n">
        <v>3</v>
      </c>
      <c r="M50" s="9" t="n">
        <v>3</v>
      </c>
      <c r="N50" s="9" t="n">
        <v>1</v>
      </c>
      <c r="O50" s="9" t="n">
        <v>1</v>
      </c>
      <c r="P50" s="9" t="n">
        <v>1</v>
      </c>
      <c r="Q50" s="9" t="n">
        <v>1</v>
      </c>
      <c r="R50" s="9" t="n">
        <v>1</v>
      </c>
      <c r="S50" s="9" t="n">
        <v>5</v>
      </c>
      <c r="T50" s="9" t="n">
        <v>4</v>
      </c>
      <c r="U50" s="9" t="n">
        <v>5</v>
      </c>
      <c r="V50" s="9" t="n">
        <v>2</v>
      </c>
      <c r="W50" s="9" t="n">
        <v>3</v>
      </c>
      <c r="X50" s="9" t="n">
        <v>1</v>
      </c>
      <c r="Y50" s="9" t="n">
        <v>1</v>
      </c>
      <c r="Z50" s="9" t="n">
        <v>1</v>
      </c>
      <c r="AA50" s="9" t="n">
        <v>1</v>
      </c>
      <c r="AB50" s="9" t="n">
        <v>1</v>
      </c>
      <c r="AC50" s="9" t="n">
        <v>1</v>
      </c>
      <c r="AD50" s="9" t="n">
        <v>1</v>
      </c>
      <c r="AE50" s="9" t="n">
        <v>1</v>
      </c>
      <c r="AF50" s="9" t="n">
        <v>1</v>
      </c>
      <c r="AG50" s="9" t="n">
        <v>1</v>
      </c>
      <c r="AH50" s="9" t="n">
        <v>1</v>
      </c>
      <c r="AI50" s="9" t="n">
        <v>1</v>
      </c>
      <c r="AJ50" s="9" t="n">
        <v>1</v>
      </c>
      <c r="AK50" s="9" t="n">
        <v>1</v>
      </c>
      <c r="AL50" s="9" t="n">
        <v>1</v>
      </c>
      <c r="AM50" s="9" t="n">
        <v>4</v>
      </c>
      <c r="AN50" s="9" t="n">
        <v>2</v>
      </c>
      <c r="AO50" s="9" t="n">
        <v>3</v>
      </c>
      <c r="AP50" s="9" t="n">
        <v>2</v>
      </c>
      <c r="AQ50" s="9" t="n">
        <v>2</v>
      </c>
      <c r="AR50" s="9" t="n">
        <v>1</v>
      </c>
      <c r="AS50" s="9" t="n">
        <v>1</v>
      </c>
      <c r="AT50" s="9" t="n">
        <v>1</v>
      </c>
      <c r="AU50" s="9" t="n">
        <v>1</v>
      </c>
      <c r="AV50" s="9" t="n">
        <v>1</v>
      </c>
      <c r="AW50" s="9" t="n">
        <v>1</v>
      </c>
      <c r="AX50" s="9" t="n">
        <v>1</v>
      </c>
      <c r="AY50" s="9" t="n">
        <v>1</v>
      </c>
      <c r="AZ50" s="9" t="n">
        <v>1</v>
      </c>
      <c r="BA50" s="9" t="n">
        <v>1</v>
      </c>
    </row>
    <row r="51">
      <c r="A51" s="9" t="n">
        <v>50</v>
      </c>
      <c r="B51" s="9" t="inlineStr">
        <is>
          <t>עלי סלאלחה</t>
        </is>
      </c>
      <c r="C51" s="9" t="n">
        <v>4</v>
      </c>
      <c r="D51" s="9" t="n">
        <v>1</v>
      </c>
      <c r="E51" s="9" t="n">
        <v>1</v>
      </c>
      <c r="F51" s="9" t="n">
        <v>1</v>
      </c>
      <c r="G51" s="9" t="n">
        <v>1</v>
      </c>
      <c r="H51" s="9" t="n">
        <v>1</v>
      </c>
      <c r="I51" s="9" t="n">
        <v>1</v>
      </c>
      <c r="J51" s="9" t="n">
        <v>1</v>
      </c>
      <c r="K51" s="9" t="n">
        <v>1</v>
      </c>
      <c r="L51" s="9" t="n">
        <v>1</v>
      </c>
      <c r="M51" s="9" t="n">
        <v>1</v>
      </c>
      <c r="N51" s="9" t="n">
        <v>1</v>
      </c>
      <c r="O51" s="9" t="n">
        <v>1</v>
      </c>
      <c r="P51" s="9" t="n">
        <v>1</v>
      </c>
      <c r="Q51" s="9" t="n">
        <v>1</v>
      </c>
      <c r="R51" s="9" t="n">
        <v>1</v>
      </c>
      <c r="S51" s="9" t="n">
        <v>1</v>
      </c>
      <c r="T51" s="9" t="n">
        <v>1</v>
      </c>
      <c r="U51" s="9" t="n">
        <v>1</v>
      </c>
      <c r="V51" s="9" t="n">
        <v>1</v>
      </c>
      <c r="W51" s="9" t="n">
        <v>1</v>
      </c>
      <c r="X51" s="9" t="n">
        <v>4</v>
      </c>
      <c r="Y51" s="9" t="n">
        <v>2</v>
      </c>
      <c r="Z51" s="9" t="n">
        <v>3</v>
      </c>
      <c r="AA51" s="9" t="n">
        <v>3</v>
      </c>
      <c r="AB51" s="9" t="n">
        <v>2</v>
      </c>
      <c r="AC51" s="9" t="n">
        <v>1</v>
      </c>
      <c r="AD51" s="9" t="n">
        <v>1</v>
      </c>
      <c r="AE51" s="9" t="n">
        <v>1</v>
      </c>
      <c r="AF51" s="9" t="n">
        <v>1</v>
      </c>
      <c r="AG51" s="9" t="n">
        <v>1</v>
      </c>
      <c r="AH51" s="9" t="n">
        <v>5</v>
      </c>
      <c r="AI51" s="9" t="n">
        <v>2</v>
      </c>
      <c r="AJ51" s="9" t="n">
        <v>5</v>
      </c>
      <c r="AK51" s="9" t="n">
        <v>5</v>
      </c>
      <c r="AL51" s="9" t="n">
        <v>3</v>
      </c>
      <c r="AM51" s="9" t="n">
        <v>1</v>
      </c>
      <c r="AN51" s="9" t="n">
        <v>1</v>
      </c>
      <c r="AO51" s="9" t="n">
        <v>1</v>
      </c>
      <c r="AP51" s="9" t="n">
        <v>1</v>
      </c>
      <c r="AQ51" s="9" t="n">
        <v>1</v>
      </c>
      <c r="AR51" s="9" t="n">
        <v>1</v>
      </c>
      <c r="AS51" s="9" t="n">
        <v>1</v>
      </c>
      <c r="AT51" s="9" t="n">
        <v>1</v>
      </c>
      <c r="AU51" s="9" t="n">
        <v>1</v>
      </c>
      <c r="AV51" s="9" t="n">
        <v>1</v>
      </c>
      <c r="AW51" s="9" t="n">
        <v>3</v>
      </c>
      <c r="AX51" s="9" t="n">
        <v>2</v>
      </c>
      <c r="AY51" s="9" t="n">
        <v>3</v>
      </c>
      <c r="AZ51" s="9" t="n">
        <v>2</v>
      </c>
      <c r="BA51" s="9" t="n">
        <v>1</v>
      </c>
    </row>
    <row r="52">
      <c r="A52" s="9" t="n">
        <v>51</v>
      </c>
      <c r="B52" s="9" t="inlineStr">
        <is>
          <t>נמרוד שפר</t>
        </is>
      </c>
      <c r="C52" s="9" t="n">
        <v>4</v>
      </c>
      <c r="D52" s="9" t="n">
        <v>5</v>
      </c>
      <c r="E52" s="9" t="n">
        <v>3</v>
      </c>
      <c r="F52" s="9" t="n">
        <v>4</v>
      </c>
      <c r="G52" s="9" t="n">
        <v>4</v>
      </c>
      <c r="H52" s="9" t="n">
        <v>2</v>
      </c>
      <c r="I52" s="9" t="n">
        <v>1</v>
      </c>
      <c r="J52" s="9" t="n">
        <v>1</v>
      </c>
      <c r="K52" s="9" t="n">
        <v>1</v>
      </c>
      <c r="L52" s="9" t="n">
        <v>1</v>
      </c>
      <c r="M52" s="9" t="n">
        <v>1</v>
      </c>
      <c r="N52" s="9" t="n">
        <v>1</v>
      </c>
      <c r="O52" s="9" t="n">
        <v>1</v>
      </c>
      <c r="P52" s="9" t="n">
        <v>1</v>
      </c>
      <c r="Q52" s="9" t="n">
        <v>1</v>
      </c>
      <c r="R52" s="9" t="n">
        <v>1</v>
      </c>
      <c r="S52" s="9" t="n">
        <v>1</v>
      </c>
      <c r="T52" s="9" t="n">
        <v>1</v>
      </c>
      <c r="U52" s="9" t="n">
        <v>1</v>
      </c>
      <c r="V52" s="9" t="n">
        <v>1</v>
      </c>
      <c r="W52" s="9" t="n">
        <v>1</v>
      </c>
      <c r="X52" s="9" t="n">
        <v>1</v>
      </c>
      <c r="Y52" s="9" t="n">
        <v>1</v>
      </c>
      <c r="Z52" s="9" t="n">
        <v>1</v>
      </c>
      <c r="AA52" s="9" t="n">
        <v>1</v>
      </c>
      <c r="AB52" s="9" t="n">
        <v>1</v>
      </c>
      <c r="AC52" s="9" t="n">
        <v>3</v>
      </c>
      <c r="AD52" s="9" t="n">
        <v>2</v>
      </c>
      <c r="AE52" s="9" t="n">
        <v>3</v>
      </c>
      <c r="AF52" s="9" t="n">
        <v>3</v>
      </c>
      <c r="AG52" s="9" t="n">
        <v>2</v>
      </c>
      <c r="AH52" s="9" t="n">
        <v>1</v>
      </c>
      <c r="AI52" s="9" t="n">
        <v>1</v>
      </c>
      <c r="AJ52" s="9" t="n">
        <v>1</v>
      </c>
      <c r="AK52" s="9" t="n">
        <v>1</v>
      </c>
      <c r="AL52" s="9" t="n">
        <v>1</v>
      </c>
      <c r="AM52" s="9" t="n">
        <v>1</v>
      </c>
      <c r="AN52" s="9" t="n">
        <v>1</v>
      </c>
      <c r="AO52" s="9" t="n">
        <v>1</v>
      </c>
      <c r="AP52" s="9" t="n">
        <v>1</v>
      </c>
      <c r="AQ52" s="9" t="n">
        <v>1</v>
      </c>
      <c r="AR52" s="9" t="n">
        <v>1</v>
      </c>
      <c r="AS52" s="9" t="n">
        <v>1</v>
      </c>
      <c r="AT52" s="9" t="n">
        <v>1</v>
      </c>
      <c r="AU52" s="9" t="n">
        <v>1</v>
      </c>
      <c r="AV52" s="9" t="n">
        <v>1</v>
      </c>
      <c r="AW52" s="9" t="n">
        <v>1</v>
      </c>
      <c r="AX52" s="9" t="n">
        <v>1</v>
      </c>
      <c r="AY52" s="9" t="n">
        <v>1</v>
      </c>
      <c r="AZ52" s="9" t="n">
        <v>1</v>
      </c>
      <c r="BA52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C1 E1</t>
        </is>
      </c>
      <c r="D1" s="8" t="inlineStr">
        <is>
          <t>C1 E2</t>
        </is>
      </c>
      <c r="E1" s="8" t="inlineStr">
        <is>
          <t>C1 E3</t>
        </is>
      </c>
      <c r="F1" s="8" t="inlineStr">
        <is>
          <t>C1 E4</t>
        </is>
      </c>
      <c r="G1" s="8" t="inlineStr">
        <is>
          <t>C2 E1</t>
        </is>
      </c>
      <c r="H1" s="8" t="inlineStr">
        <is>
          <t>C2 E2</t>
        </is>
      </c>
      <c r="I1" s="8" t="inlineStr">
        <is>
          <t>C2 E3</t>
        </is>
      </c>
      <c r="J1" s="8" t="inlineStr">
        <is>
          <t>C2 E4</t>
        </is>
      </c>
      <c r="K1" s="8" t="inlineStr">
        <is>
          <t>C3 E1</t>
        </is>
      </c>
      <c r="L1" s="8" t="inlineStr">
        <is>
          <t>C3 E2</t>
        </is>
      </c>
      <c r="M1" s="8" t="inlineStr">
        <is>
          <t>C3 E3</t>
        </is>
      </c>
      <c r="N1" s="8" t="inlineStr">
        <is>
          <t>C3 E4</t>
        </is>
      </c>
      <c r="O1" s="8" t="inlineStr">
        <is>
          <t>C4 E1</t>
        </is>
      </c>
      <c r="P1" s="8" t="inlineStr">
        <is>
          <t>C4 E2</t>
        </is>
      </c>
      <c r="Q1" s="8" t="inlineStr">
        <is>
          <t>C4 E3</t>
        </is>
      </c>
      <c r="R1" s="8" t="inlineStr">
        <is>
          <t>C4 E4</t>
        </is>
      </c>
      <c r="S1" s="8" t="inlineStr">
        <is>
          <t>C5 E1</t>
        </is>
      </c>
      <c r="T1" s="8" t="inlineStr">
        <is>
          <t>C5 E2</t>
        </is>
      </c>
      <c r="U1" s="8" t="inlineStr">
        <is>
          <t>C5 E3</t>
        </is>
      </c>
      <c r="V1" s="8" t="inlineStr">
        <is>
          <t>C5 E4</t>
        </is>
      </c>
    </row>
    <row r="2">
      <c r="A2" s="9" t="n">
        <v>1</v>
      </c>
      <c r="B2" s="9" t="inlineStr">
        <is>
          <t>משה רדמן אבוטבול</t>
        </is>
      </c>
      <c r="C2" s="9" t="n">
        <v>4</v>
      </c>
      <c r="D2" s="9" t="n">
        <v>2</v>
      </c>
      <c r="E2" s="9" t="n">
        <v>2</v>
      </c>
      <c r="F2" s="9" t="n">
        <v>2</v>
      </c>
      <c r="G2" s="9" t="n">
        <v>4</v>
      </c>
      <c r="H2" s="9" t="n">
        <v>3</v>
      </c>
      <c r="I2" s="9" t="n">
        <v>4</v>
      </c>
      <c r="J2" s="9" t="n">
        <v>5</v>
      </c>
      <c r="K2" s="9" t="n">
        <v>5</v>
      </c>
      <c r="L2" s="9" t="n">
        <v>3</v>
      </c>
      <c r="M2" s="9" t="n">
        <v>5</v>
      </c>
      <c r="N2" s="9" t="n">
        <v>5</v>
      </c>
      <c r="O2" s="9" t="n">
        <v>4</v>
      </c>
      <c r="P2" s="9" t="n">
        <v>2</v>
      </c>
      <c r="Q2" s="9" t="n">
        <v>3</v>
      </c>
      <c r="R2" s="9" t="n">
        <v>4</v>
      </c>
      <c r="S2" s="9" t="n">
        <v>3</v>
      </c>
      <c r="T2" s="9" t="n">
        <v>2</v>
      </c>
      <c r="U2" s="9" t="n">
        <v>3</v>
      </c>
      <c r="V2" s="9" t="n">
        <v>4</v>
      </c>
    </row>
    <row r="3">
      <c r="A3" s="9" t="n">
        <v>2</v>
      </c>
      <c r="B3" s="9" t="inlineStr">
        <is>
          <t>ערן עציון</t>
        </is>
      </c>
      <c r="C3" s="9" t="n">
        <v>4</v>
      </c>
      <c r="D3" s="9" t="n">
        <v>2</v>
      </c>
      <c r="E3" s="9" t="n">
        <v>3</v>
      </c>
      <c r="F3" s="9" t="n">
        <v>3</v>
      </c>
      <c r="G3" s="9" t="n">
        <v>4</v>
      </c>
      <c r="H3" s="9" t="n">
        <v>2</v>
      </c>
      <c r="I3" s="9" t="n">
        <v>3</v>
      </c>
      <c r="J3" s="9" t="n">
        <v>4</v>
      </c>
      <c r="K3" s="9" t="n">
        <v>4</v>
      </c>
      <c r="L3" s="9" t="n">
        <v>2</v>
      </c>
      <c r="M3" s="9" t="n">
        <v>3</v>
      </c>
      <c r="N3" s="9" t="n">
        <v>3</v>
      </c>
      <c r="O3" s="9" t="n">
        <v>3</v>
      </c>
      <c r="P3" s="9" t="n">
        <v>2</v>
      </c>
      <c r="Q3" s="9" t="n">
        <v>3</v>
      </c>
      <c r="R3" s="9" t="n">
        <v>4</v>
      </c>
      <c r="S3" s="9" t="n">
        <v>5</v>
      </c>
      <c r="T3" s="9" t="n">
        <v>3</v>
      </c>
      <c r="U3" s="9" t="n">
        <v>4</v>
      </c>
      <c r="V3" s="9" t="n">
        <v>5</v>
      </c>
    </row>
    <row r="4">
      <c r="A4" s="9" t="n">
        <v>3</v>
      </c>
      <c r="B4" s="9" t="inlineStr">
        <is>
          <t>מורן זר קצנשטיין</t>
        </is>
      </c>
      <c r="C4" s="9" t="n">
        <v>4</v>
      </c>
      <c r="D4" s="9" t="n">
        <v>2</v>
      </c>
      <c r="E4" s="9" t="n">
        <v>4</v>
      </c>
      <c r="F4" s="9" t="n">
        <v>4</v>
      </c>
      <c r="G4" s="9" t="n">
        <v>4</v>
      </c>
      <c r="H4" s="9" t="n">
        <v>3</v>
      </c>
      <c r="I4" s="9" t="n">
        <v>4</v>
      </c>
      <c r="J4" s="9" t="n">
        <v>4</v>
      </c>
      <c r="K4" s="9" t="n">
        <v>5</v>
      </c>
      <c r="L4" s="9" t="n">
        <v>3</v>
      </c>
      <c r="M4" s="9" t="n">
        <v>4</v>
      </c>
      <c r="N4" s="9" t="n">
        <v>5</v>
      </c>
      <c r="O4" s="9" t="n">
        <v>5</v>
      </c>
      <c r="P4" s="9" t="n">
        <v>3</v>
      </c>
      <c r="Q4" s="9" t="n">
        <v>4</v>
      </c>
      <c r="R4" s="9" t="n">
        <v>5</v>
      </c>
      <c r="S4" s="9" t="n">
        <v>4</v>
      </c>
      <c r="T4" s="9" t="n">
        <v>3</v>
      </c>
      <c r="U4" s="9" t="n">
        <v>3</v>
      </c>
      <c r="V4" s="9" t="n">
        <v>4</v>
      </c>
    </row>
    <row r="5">
      <c r="A5" s="9" t="n">
        <v>4</v>
      </c>
      <c r="B5" s="9" t="inlineStr">
        <is>
          <t>יעל כהן־פארן</t>
        </is>
      </c>
      <c r="C5" s="9" t="n">
        <v>4</v>
      </c>
      <c r="D5" s="9" t="n">
        <v>2</v>
      </c>
      <c r="E5" s="9" t="n">
        <v>3</v>
      </c>
      <c r="F5" s="9" t="n">
        <v>3</v>
      </c>
      <c r="G5" s="9" t="n">
        <v>4</v>
      </c>
      <c r="H5" s="9" t="n">
        <v>2</v>
      </c>
      <c r="I5" s="9" t="n">
        <v>3</v>
      </c>
      <c r="J5" s="9" t="n">
        <v>4</v>
      </c>
      <c r="K5" s="9" t="n">
        <v>3</v>
      </c>
      <c r="L5" s="9" t="n">
        <v>2</v>
      </c>
      <c r="M5" s="9" t="n">
        <v>3</v>
      </c>
      <c r="N5" s="9" t="n">
        <v>3</v>
      </c>
      <c r="O5" s="9" t="n">
        <v>4</v>
      </c>
      <c r="P5" s="9" t="n">
        <v>2</v>
      </c>
      <c r="Q5" s="9" t="n">
        <v>3</v>
      </c>
      <c r="R5" s="9" t="n">
        <v>4</v>
      </c>
      <c r="S5" s="9" t="n">
        <v>4</v>
      </c>
      <c r="T5" s="9" t="n">
        <v>3</v>
      </c>
      <c r="U5" s="9" t="n">
        <v>3</v>
      </c>
      <c r="V5" s="9" t="n">
        <v>4</v>
      </c>
    </row>
    <row r="6">
      <c r="A6" s="9" t="n">
        <v>5</v>
      </c>
      <c r="B6" s="9" t="inlineStr">
        <is>
          <t>לי הופמן אגיב</t>
        </is>
      </c>
      <c r="C6" s="9" t="n">
        <v>3</v>
      </c>
      <c r="D6" s="9" t="n">
        <v>1</v>
      </c>
      <c r="E6" s="9" t="n">
        <v>2</v>
      </c>
      <c r="F6" s="9" t="n">
        <v>2</v>
      </c>
      <c r="G6" s="9" t="n">
        <v>3</v>
      </c>
      <c r="H6" s="9" t="n">
        <v>2</v>
      </c>
      <c r="I6" s="9" t="n">
        <v>3</v>
      </c>
      <c r="J6" s="9" t="n">
        <v>3</v>
      </c>
      <c r="K6" s="9" t="n">
        <v>3</v>
      </c>
      <c r="L6" s="9" t="n">
        <v>2</v>
      </c>
      <c r="M6" s="9" t="n">
        <v>3</v>
      </c>
      <c r="N6" s="9" t="n">
        <v>3</v>
      </c>
      <c r="O6" s="9" t="n">
        <v>3</v>
      </c>
      <c r="P6" s="9" t="n">
        <v>1</v>
      </c>
      <c r="Q6" s="9" t="n">
        <v>2</v>
      </c>
      <c r="R6" s="9" t="n">
        <v>2</v>
      </c>
      <c r="S6" s="9" t="n">
        <v>3</v>
      </c>
      <c r="T6" s="9" t="n">
        <v>1</v>
      </c>
      <c r="U6" s="9" t="n">
        <v>2</v>
      </c>
      <c r="V6" s="9" t="n">
        <v>2</v>
      </c>
    </row>
    <row r="7">
      <c r="A7" s="9" t="n">
        <v>6</v>
      </c>
      <c r="B7" s="9" t="inlineStr">
        <is>
          <t>רם שפע</t>
        </is>
      </c>
      <c r="C7" s="9" t="n">
        <v>4</v>
      </c>
      <c r="D7" s="9" t="n">
        <v>2</v>
      </c>
      <c r="E7" s="9" t="n">
        <v>3</v>
      </c>
      <c r="F7" s="9" t="n">
        <v>3</v>
      </c>
      <c r="G7" s="9" t="n">
        <v>4</v>
      </c>
      <c r="H7" s="9" t="n">
        <v>3</v>
      </c>
      <c r="I7" s="9" t="n">
        <v>4</v>
      </c>
      <c r="J7" s="9" t="n">
        <v>5</v>
      </c>
      <c r="K7" s="9" t="n">
        <v>3</v>
      </c>
      <c r="L7" s="9" t="n">
        <v>2</v>
      </c>
      <c r="M7" s="9" t="n">
        <v>3</v>
      </c>
      <c r="N7" s="9" t="n">
        <v>3</v>
      </c>
      <c r="O7" s="9" t="n">
        <v>4</v>
      </c>
      <c r="P7" s="9" t="n">
        <v>3</v>
      </c>
      <c r="Q7" s="9" t="n">
        <v>4</v>
      </c>
      <c r="R7" s="9" t="n">
        <v>5</v>
      </c>
      <c r="S7" s="9" t="n">
        <v>4</v>
      </c>
      <c r="T7" s="9" t="n">
        <v>4</v>
      </c>
      <c r="U7" s="9" t="n">
        <v>4</v>
      </c>
      <c r="V7" s="9" t="n">
        <v>4</v>
      </c>
    </row>
    <row r="8">
      <c r="A8" s="9" t="n">
        <v>7</v>
      </c>
      <c r="B8" s="9" t="inlineStr">
        <is>
          <t>יריב אופנהיימר</t>
        </is>
      </c>
      <c r="C8" s="9" t="n">
        <v>4</v>
      </c>
      <c r="D8" s="9" t="n">
        <v>2</v>
      </c>
      <c r="E8" s="9" t="n">
        <v>3</v>
      </c>
      <c r="F8" s="9" t="n">
        <v>4</v>
      </c>
      <c r="G8" s="9" t="n">
        <v>4</v>
      </c>
      <c r="H8" s="9" t="n">
        <v>2</v>
      </c>
      <c r="I8" s="9" t="n">
        <v>4</v>
      </c>
      <c r="J8" s="9" t="n">
        <v>5</v>
      </c>
      <c r="K8" s="9" t="n">
        <v>5</v>
      </c>
      <c r="L8" s="9" t="n">
        <v>3</v>
      </c>
      <c r="M8" s="9" t="n">
        <v>4</v>
      </c>
      <c r="N8" s="9" t="n">
        <v>5</v>
      </c>
      <c r="O8" s="9" t="n">
        <v>3</v>
      </c>
      <c r="P8" s="9" t="n">
        <v>2</v>
      </c>
      <c r="Q8" s="9" t="n">
        <v>2</v>
      </c>
      <c r="R8" s="9" t="n">
        <v>3</v>
      </c>
      <c r="S8" s="9" t="n">
        <v>4</v>
      </c>
      <c r="T8" s="9" t="n">
        <v>2</v>
      </c>
      <c r="U8" s="9" t="n">
        <v>3</v>
      </c>
      <c r="V8" s="9" t="n">
        <v>4</v>
      </c>
    </row>
    <row r="9">
      <c r="A9" s="9" t="n">
        <v>8</v>
      </c>
      <c r="B9" s="9" t="inlineStr">
        <is>
          <t>אוליביה עמנואל דה לם</t>
        </is>
      </c>
      <c r="C9" s="9" t="n">
        <v>5</v>
      </c>
      <c r="D9" s="9" t="n">
        <v>1</v>
      </c>
      <c r="E9" s="9" t="n">
        <v>1</v>
      </c>
      <c r="F9" s="9" t="n">
        <v>2</v>
      </c>
      <c r="G9" s="9" t="n">
        <v>3</v>
      </c>
      <c r="H9" s="9" t="n">
        <v>1</v>
      </c>
      <c r="I9" s="9" t="n">
        <v>2</v>
      </c>
      <c r="J9" s="9" t="n">
        <v>2</v>
      </c>
      <c r="K9" s="9" t="n">
        <v>3</v>
      </c>
      <c r="L9" s="9" t="n">
        <v>1</v>
      </c>
      <c r="M9" s="9" t="n">
        <v>2</v>
      </c>
      <c r="N9" s="9" t="n">
        <v>2</v>
      </c>
      <c r="O9" s="9" t="n">
        <v>3</v>
      </c>
      <c r="P9" s="9" t="n">
        <v>1</v>
      </c>
      <c r="Q9" s="9" t="n">
        <v>2</v>
      </c>
      <c r="R9" s="9" t="n">
        <v>2</v>
      </c>
      <c r="S9" s="9" t="n">
        <v>3</v>
      </c>
      <c r="T9" s="9" t="n">
        <v>1</v>
      </c>
      <c r="U9" s="9" t="n">
        <v>2</v>
      </c>
      <c r="V9" s="9" t="n">
        <v>2</v>
      </c>
    </row>
    <row r="10">
      <c r="A10" s="9" t="n">
        <v>9</v>
      </c>
      <c r="B10" s="9" t="inlineStr">
        <is>
          <t>נאור נרקיס</t>
        </is>
      </c>
      <c r="C10" s="9" t="n">
        <v>4</v>
      </c>
      <c r="D10" s="9" t="n">
        <v>2</v>
      </c>
      <c r="E10" s="9" t="n">
        <v>2</v>
      </c>
      <c r="F10" s="9" t="n">
        <v>3</v>
      </c>
      <c r="G10" s="9" t="n">
        <v>5</v>
      </c>
      <c r="H10" s="9" t="n">
        <v>2</v>
      </c>
      <c r="I10" s="9" t="n">
        <v>4</v>
      </c>
      <c r="J10" s="9" t="n">
        <v>5</v>
      </c>
      <c r="K10" s="9" t="n">
        <v>5</v>
      </c>
      <c r="L10" s="9" t="n">
        <v>2</v>
      </c>
      <c r="M10" s="9" t="n">
        <v>4</v>
      </c>
      <c r="N10" s="9" t="n">
        <v>5</v>
      </c>
      <c r="O10" s="9" t="n">
        <v>2</v>
      </c>
      <c r="P10" s="9" t="n">
        <v>1</v>
      </c>
      <c r="Q10" s="9" t="n">
        <v>1</v>
      </c>
      <c r="R10" s="9" t="n">
        <v>2</v>
      </c>
      <c r="S10" s="9" t="n">
        <v>3</v>
      </c>
      <c r="T10" s="9" t="n">
        <v>2</v>
      </c>
      <c r="U10" s="9" t="n">
        <v>3</v>
      </c>
      <c r="V10" s="9" t="n">
        <v>3</v>
      </c>
    </row>
    <row r="11">
      <c r="A11" s="9" t="n">
        <v>10</v>
      </c>
      <c r="B11" s="9" t="inlineStr">
        <is>
          <t>מהרטה ברוך־רון</t>
        </is>
      </c>
      <c r="C11" s="9" t="n">
        <v>4</v>
      </c>
      <c r="D11" s="9" t="n">
        <v>2</v>
      </c>
      <c r="E11" s="9" t="n">
        <v>3</v>
      </c>
      <c r="F11" s="9" t="n">
        <v>3</v>
      </c>
      <c r="G11" s="9" t="n">
        <v>4</v>
      </c>
      <c r="H11" s="9" t="n">
        <v>2</v>
      </c>
      <c r="I11" s="9" t="n">
        <v>3</v>
      </c>
      <c r="J11" s="9" t="n">
        <v>4</v>
      </c>
      <c r="K11" s="9" t="n">
        <v>4</v>
      </c>
      <c r="L11" s="9" t="n">
        <v>2</v>
      </c>
      <c r="M11" s="9" t="n">
        <v>3</v>
      </c>
      <c r="N11" s="9" t="n">
        <v>4</v>
      </c>
      <c r="O11" s="9" t="n">
        <v>4</v>
      </c>
      <c r="P11" s="9" t="n">
        <v>2</v>
      </c>
      <c r="Q11" s="9" t="n">
        <v>3</v>
      </c>
      <c r="R11" s="9" t="n">
        <v>4</v>
      </c>
      <c r="S11" s="9" t="n">
        <v>4</v>
      </c>
      <c r="T11" s="9" t="n">
        <v>2</v>
      </c>
      <c r="U11" s="9" t="n">
        <v>3</v>
      </c>
      <c r="V11" s="9" t="n">
        <v>4</v>
      </c>
    </row>
    <row r="12">
      <c r="A12" s="9" t="n">
        <v>11</v>
      </c>
      <c r="B12" s="9" t="inlineStr">
        <is>
          <t>עמרי רונן</t>
        </is>
      </c>
      <c r="C12" s="9" t="n">
        <v>3</v>
      </c>
      <c r="D12" s="9" t="n">
        <v>2</v>
      </c>
      <c r="E12" s="9" t="n">
        <v>3</v>
      </c>
      <c r="F12" s="9" t="n">
        <v>3</v>
      </c>
      <c r="G12" s="9" t="n">
        <v>3</v>
      </c>
      <c r="H12" s="9" t="n">
        <v>1</v>
      </c>
      <c r="I12" s="9" t="n">
        <v>3</v>
      </c>
      <c r="J12" s="9" t="n">
        <v>3</v>
      </c>
      <c r="K12" s="9" t="n">
        <v>4</v>
      </c>
      <c r="L12" s="9" t="n">
        <v>2</v>
      </c>
      <c r="M12" s="9" t="n">
        <v>3</v>
      </c>
      <c r="N12" s="9" t="n">
        <v>4</v>
      </c>
      <c r="O12" s="9" t="n">
        <v>3</v>
      </c>
      <c r="P12" s="9" t="n">
        <v>1</v>
      </c>
      <c r="Q12" s="9" t="n">
        <v>2</v>
      </c>
      <c r="R12" s="9" t="n">
        <v>2</v>
      </c>
      <c r="S12" s="9" t="n">
        <v>3</v>
      </c>
      <c r="T12" s="9" t="n">
        <v>1</v>
      </c>
      <c r="U12" s="9" t="n">
        <v>2</v>
      </c>
      <c r="V12" s="9" t="n">
        <v>2</v>
      </c>
    </row>
    <row r="13">
      <c r="A13" s="9" t="n">
        <v>12</v>
      </c>
      <c r="B13" s="9" t="inlineStr">
        <is>
          <t>ירון ניב</t>
        </is>
      </c>
      <c r="C13" s="9" t="n">
        <v>4</v>
      </c>
      <c r="D13" s="9" t="n">
        <v>2</v>
      </c>
      <c r="E13" s="9" t="n">
        <v>2</v>
      </c>
      <c r="F13" s="9" t="n">
        <v>3</v>
      </c>
      <c r="G13" s="9" t="n">
        <v>4</v>
      </c>
      <c r="H13" s="9" t="n">
        <v>2</v>
      </c>
      <c r="I13" s="9" t="n">
        <v>2</v>
      </c>
      <c r="J13" s="9" t="n">
        <v>4</v>
      </c>
      <c r="K13" s="9" t="n">
        <v>3</v>
      </c>
      <c r="L13" s="9" t="n">
        <v>1</v>
      </c>
      <c r="M13" s="9" t="n">
        <v>2</v>
      </c>
      <c r="N13" s="9" t="n">
        <v>2</v>
      </c>
      <c r="O13" s="9" t="n">
        <v>3</v>
      </c>
      <c r="P13" s="9" t="n">
        <v>2</v>
      </c>
      <c r="Q13" s="9" t="n">
        <v>2</v>
      </c>
      <c r="R13" s="9" t="n">
        <v>3</v>
      </c>
      <c r="S13" s="9" t="n">
        <v>5</v>
      </c>
      <c r="T13" s="9" t="n">
        <v>3</v>
      </c>
      <c r="U13" s="9" t="n">
        <v>3</v>
      </c>
      <c r="V13" s="9" t="n">
        <v>5</v>
      </c>
    </row>
    <row r="14">
      <c r="A14" s="9" t="n">
        <v>13</v>
      </c>
      <c r="B14" s="9" t="inlineStr">
        <is>
          <t>רתם סיון</t>
        </is>
      </c>
      <c r="C14" s="9" t="n">
        <v>4</v>
      </c>
      <c r="D14" s="9" t="n">
        <v>2</v>
      </c>
      <c r="E14" s="9" t="n">
        <v>3</v>
      </c>
      <c r="F14" s="9" t="n">
        <v>3</v>
      </c>
      <c r="G14" s="9" t="n">
        <v>4</v>
      </c>
      <c r="H14" s="9" t="n">
        <v>2</v>
      </c>
      <c r="I14" s="9" t="n">
        <v>3</v>
      </c>
      <c r="J14" s="9" t="n">
        <v>4</v>
      </c>
      <c r="K14" s="9" t="n">
        <v>5</v>
      </c>
      <c r="L14" s="9" t="n">
        <v>2</v>
      </c>
      <c r="M14" s="9" t="n">
        <v>4</v>
      </c>
      <c r="N14" s="9" t="n">
        <v>4</v>
      </c>
      <c r="O14" s="9" t="n">
        <v>3</v>
      </c>
      <c r="P14" s="9" t="n">
        <v>2</v>
      </c>
      <c r="Q14" s="9" t="n">
        <v>3</v>
      </c>
      <c r="R14" s="9" t="n">
        <v>3</v>
      </c>
      <c r="S14" s="9" t="n">
        <v>5</v>
      </c>
      <c r="T14" s="9" t="n">
        <v>2</v>
      </c>
      <c r="U14" s="9" t="n">
        <v>3</v>
      </c>
      <c r="V14" s="9" t="n">
        <v>5</v>
      </c>
    </row>
    <row r="15">
      <c r="A15" s="9" t="n">
        <v>14</v>
      </c>
      <c r="B15" s="9" t="inlineStr">
        <is>
          <t>אליס גולדמן</t>
        </is>
      </c>
      <c r="C15" s="9" t="n">
        <v>3</v>
      </c>
      <c r="D15" s="9" t="n">
        <v>1</v>
      </c>
      <c r="E15" s="9" t="n">
        <v>2</v>
      </c>
      <c r="F15" s="9" t="n">
        <v>2</v>
      </c>
      <c r="G15" s="9" t="n">
        <v>4</v>
      </c>
      <c r="H15" s="9" t="n">
        <v>2</v>
      </c>
      <c r="I15" s="9" t="n">
        <v>2</v>
      </c>
      <c r="J15" s="9" t="n">
        <v>3</v>
      </c>
      <c r="K15" s="9" t="n">
        <v>4</v>
      </c>
      <c r="L15" s="9" t="n">
        <v>2</v>
      </c>
      <c r="M15" s="9" t="n">
        <v>3</v>
      </c>
      <c r="N15" s="9" t="n">
        <v>3</v>
      </c>
      <c r="O15" s="9" t="n">
        <v>3</v>
      </c>
      <c r="P15" s="9" t="n">
        <v>1</v>
      </c>
      <c r="Q15" s="9" t="n">
        <v>2</v>
      </c>
      <c r="R15" s="9" t="n">
        <v>2</v>
      </c>
      <c r="S15" s="9" t="n">
        <v>4</v>
      </c>
      <c r="T15" s="9" t="n">
        <v>2</v>
      </c>
      <c r="U15" s="9" t="n">
        <v>2</v>
      </c>
      <c r="V15" s="9" t="n">
        <v>4</v>
      </c>
    </row>
    <row r="16">
      <c r="A16" s="9" t="n">
        <v>15</v>
      </c>
      <c r="B16" s="9" t="inlineStr">
        <is>
          <t>אבי דבוש</t>
        </is>
      </c>
      <c r="C16" s="9" t="n">
        <v>4</v>
      </c>
      <c r="D16" s="9" t="n">
        <v>2</v>
      </c>
      <c r="E16" s="9" t="n">
        <v>3</v>
      </c>
      <c r="F16" s="9" t="n">
        <v>4</v>
      </c>
      <c r="G16" s="9" t="n">
        <v>4</v>
      </c>
      <c r="H16" s="9" t="n">
        <v>2</v>
      </c>
      <c r="I16" s="9" t="n">
        <v>3</v>
      </c>
      <c r="J16" s="9" t="n">
        <v>4</v>
      </c>
      <c r="K16" s="9" t="n">
        <v>4</v>
      </c>
      <c r="L16" s="9" t="n">
        <v>2</v>
      </c>
      <c r="M16" s="9" t="n">
        <v>3</v>
      </c>
      <c r="N16" s="9" t="n">
        <v>4</v>
      </c>
      <c r="O16" s="9" t="n">
        <v>4</v>
      </c>
      <c r="P16" s="9" t="n">
        <v>3</v>
      </c>
      <c r="Q16" s="9" t="n">
        <v>3</v>
      </c>
      <c r="R16" s="9" t="n">
        <v>4</v>
      </c>
      <c r="S16" s="9" t="n">
        <v>3</v>
      </c>
      <c r="T16" s="9" t="n">
        <v>2</v>
      </c>
      <c r="U16" s="9" t="n">
        <v>3</v>
      </c>
      <c r="V16" s="9" t="n">
        <v>3</v>
      </c>
    </row>
    <row r="17">
      <c r="A17" s="9" t="n">
        <v>16</v>
      </c>
      <c r="B17" s="9" t="inlineStr">
        <is>
          <t>דימה שפירא</t>
        </is>
      </c>
      <c r="C17" s="9" t="n">
        <v>3</v>
      </c>
      <c r="D17" s="9" t="n">
        <v>1</v>
      </c>
      <c r="E17" s="9" t="n">
        <v>2</v>
      </c>
      <c r="F17" s="9" t="n">
        <v>2</v>
      </c>
      <c r="G17" s="9" t="n">
        <v>3</v>
      </c>
      <c r="H17" s="9" t="n">
        <v>1</v>
      </c>
      <c r="I17" s="9" t="n">
        <v>2</v>
      </c>
      <c r="J17" s="9" t="n">
        <v>3</v>
      </c>
      <c r="K17" s="9" t="n">
        <v>3</v>
      </c>
      <c r="L17" s="9" t="n">
        <v>1</v>
      </c>
      <c r="M17" s="9" t="n">
        <v>2</v>
      </c>
      <c r="N17" s="9" t="n">
        <v>2</v>
      </c>
      <c r="O17" s="9" t="n">
        <v>3</v>
      </c>
      <c r="P17" s="9" t="n">
        <v>1</v>
      </c>
      <c r="Q17" s="9" t="n">
        <v>2</v>
      </c>
      <c r="R17" s="9" t="n">
        <v>2</v>
      </c>
      <c r="S17" s="9" t="n">
        <v>3</v>
      </c>
      <c r="T17" s="9" t="n">
        <v>1</v>
      </c>
      <c r="U17" s="9" t="n">
        <v>2</v>
      </c>
      <c r="V17" s="9" t="n">
        <v>2</v>
      </c>
    </row>
    <row r="18">
      <c r="A18" s="9" t="n">
        <v>17</v>
      </c>
      <c r="B18" s="9" t="inlineStr">
        <is>
          <t>בנימין דניאל מיניץ</t>
        </is>
      </c>
      <c r="C18" s="9" t="n">
        <v>3</v>
      </c>
      <c r="D18" s="9" t="n">
        <v>1</v>
      </c>
      <c r="E18" s="9" t="n">
        <v>2</v>
      </c>
      <c r="F18" s="9" t="n">
        <v>2</v>
      </c>
      <c r="G18" s="9" t="n">
        <v>3</v>
      </c>
      <c r="H18" s="9" t="n">
        <v>1</v>
      </c>
      <c r="I18" s="9" t="n">
        <v>2</v>
      </c>
      <c r="J18" s="9" t="n">
        <v>2</v>
      </c>
      <c r="K18" s="9" t="n">
        <v>3</v>
      </c>
      <c r="L18" s="9" t="n">
        <v>1</v>
      </c>
      <c r="M18" s="9" t="n">
        <v>2</v>
      </c>
      <c r="N18" s="9" t="n">
        <v>2</v>
      </c>
      <c r="O18" s="9" t="n">
        <v>3</v>
      </c>
      <c r="P18" s="9" t="n">
        <v>1</v>
      </c>
      <c r="Q18" s="9" t="n">
        <v>2</v>
      </c>
      <c r="R18" s="9" t="n">
        <v>2</v>
      </c>
      <c r="S18" s="9" t="n">
        <v>3</v>
      </c>
      <c r="T18" s="9" t="n">
        <v>1</v>
      </c>
      <c r="U18" s="9" t="n">
        <v>2</v>
      </c>
      <c r="V18" s="9" t="n">
        <v>2</v>
      </c>
    </row>
    <row r="19">
      <c r="A19" s="9" t="n">
        <v>18</v>
      </c>
      <c r="B19" s="9" t="inlineStr">
        <is>
          <t>ענבר בזק</t>
        </is>
      </c>
      <c r="C19" s="9" t="n">
        <v>4</v>
      </c>
      <c r="D19" s="9" t="n">
        <v>2</v>
      </c>
      <c r="E19" s="9" t="n">
        <v>3</v>
      </c>
      <c r="F19" s="9" t="n">
        <v>3</v>
      </c>
      <c r="G19" s="9" t="n">
        <v>4</v>
      </c>
      <c r="H19" s="9" t="n">
        <v>2</v>
      </c>
      <c r="I19" s="9" t="n">
        <v>3</v>
      </c>
      <c r="J19" s="9" t="n">
        <v>4</v>
      </c>
      <c r="K19" s="9" t="n">
        <v>4</v>
      </c>
      <c r="L19" s="9" t="n">
        <v>2</v>
      </c>
      <c r="M19" s="9" t="n">
        <v>4</v>
      </c>
      <c r="N19" s="9" t="n">
        <v>3</v>
      </c>
      <c r="O19" s="9" t="n">
        <v>4</v>
      </c>
      <c r="P19" s="9" t="n">
        <v>2</v>
      </c>
      <c r="Q19" s="9" t="n">
        <v>3</v>
      </c>
      <c r="R19" s="9" t="n">
        <v>4</v>
      </c>
      <c r="S19" s="9" t="n">
        <v>4</v>
      </c>
      <c r="T19" s="9" t="n">
        <v>3</v>
      </c>
      <c r="U19" s="9" t="n">
        <v>3</v>
      </c>
      <c r="V19" s="9" t="n">
        <v>4</v>
      </c>
    </row>
    <row r="20">
      <c r="A20" s="9" t="n">
        <v>19</v>
      </c>
      <c r="B20" s="9" t="inlineStr">
        <is>
          <t>גיל ביילין</t>
        </is>
      </c>
      <c r="C20" s="9" t="n">
        <v>3</v>
      </c>
      <c r="D20" s="9" t="n">
        <v>1</v>
      </c>
      <c r="E20" s="9" t="n">
        <v>2</v>
      </c>
      <c r="F20" s="9" t="n">
        <v>2</v>
      </c>
      <c r="G20" s="9" t="n">
        <v>3</v>
      </c>
      <c r="H20" s="9" t="n">
        <v>1</v>
      </c>
      <c r="I20" s="9" t="n">
        <v>2</v>
      </c>
      <c r="J20" s="9" t="n">
        <v>2</v>
      </c>
      <c r="K20" s="9" t="n">
        <v>3</v>
      </c>
      <c r="L20" s="9" t="n">
        <v>1</v>
      </c>
      <c r="M20" s="9" t="n">
        <v>2</v>
      </c>
      <c r="N20" s="9" t="n">
        <v>2</v>
      </c>
      <c r="O20" s="9" t="n">
        <v>3</v>
      </c>
      <c r="P20" s="9" t="n">
        <v>1</v>
      </c>
      <c r="Q20" s="9" t="n">
        <v>2</v>
      </c>
      <c r="R20" s="9" t="n">
        <v>2</v>
      </c>
      <c r="S20" s="9" t="n">
        <v>4</v>
      </c>
      <c r="T20" s="9" t="n">
        <v>1</v>
      </c>
      <c r="U20" s="9" t="n">
        <v>2</v>
      </c>
      <c r="V20" s="9" t="n">
        <v>2</v>
      </c>
    </row>
    <row r="21">
      <c r="A21" s="9" t="n">
        <v>20</v>
      </c>
      <c r="B21" s="9" t="inlineStr">
        <is>
          <t>יאיר רובינשטיין</t>
        </is>
      </c>
      <c r="C21" s="9" t="n">
        <v>3</v>
      </c>
      <c r="D21" s="9" t="n">
        <v>1</v>
      </c>
      <c r="E21" s="9" t="n">
        <v>2</v>
      </c>
      <c r="F21" s="9" t="n">
        <v>2</v>
      </c>
      <c r="G21" s="9" t="n">
        <v>3</v>
      </c>
      <c r="H21" s="9" t="n">
        <v>1</v>
      </c>
      <c r="I21" s="9" t="n">
        <v>2</v>
      </c>
      <c r="J21" s="9" t="n">
        <v>2</v>
      </c>
      <c r="K21" s="9" t="n">
        <v>3</v>
      </c>
      <c r="L21" s="9" t="n">
        <v>1</v>
      </c>
      <c r="M21" s="9" t="n">
        <v>2</v>
      </c>
      <c r="N21" s="9" t="n">
        <v>2</v>
      </c>
      <c r="O21" s="9" t="n">
        <v>3</v>
      </c>
      <c r="P21" s="9" t="n">
        <v>1</v>
      </c>
      <c r="Q21" s="9" t="n">
        <v>2</v>
      </c>
      <c r="R21" s="9" t="n">
        <v>2</v>
      </c>
      <c r="S21" s="9" t="n">
        <v>3</v>
      </c>
      <c r="T21" s="9" t="n">
        <v>1</v>
      </c>
      <c r="U21" s="9" t="n">
        <v>2</v>
      </c>
      <c r="V21" s="9" t="n">
        <v>2</v>
      </c>
    </row>
    <row r="22">
      <c r="A22" s="9" t="n">
        <v>21</v>
      </c>
      <c r="B22" s="9" t="inlineStr">
        <is>
          <t>דני אלגרט</t>
        </is>
      </c>
      <c r="C22" s="9" t="n">
        <v>4</v>
      </c>
      <c r="D22" s="9" t="n">
        <v>3</v>
      </c>
      <c r="E22" s="9" t="n">
        <v>4</v>
      </c>
      <c r="F22" s="9" t="n">
        <v>4</v>
      </c>
      <c r="G22" s="9" t="n">
        <v>3</v>
      </c>
      <c r="H22" s="9" t="n">
        <v>2</v>
      </c>
      <c r="I22" s="9" t="n">
        <v>3</v>
      </c>
      <c r="J22" s="9" t="n">
        <v>4</v>
      </c>
      <c r="K22" s="9" t="n">
        <v>5</v>
      </c>
      <c r="L22" s="9" t="n">
        <v>3</v>
      </c>
      <c r="M22" s="9" t="n">
        <v>5</v>
      </c>
      <c r="N22" s="9" t="n">
        <v>5</v>
      </c>
      <c r="O22" s="9" t="n">
        <v>3</v>
      </c>
      <c r="P22" s="9" t="n">
        <v>2</v>
      </c>
      <c r="Q22" s="9" t="n">
        <v>3</v>
      </c>
      <c r="R22" s="9" t="n">
        <v>3</v>
      </c>
      <c r="S22" s="9" t="n">
        <v>4</v>
      </c>
      <c r="T22" s="9" t="n">
        <v>2</v>
      </c>
      <c r="U22" s="9" t="n">
        <v>3</v>
      </c>
      <c r="V22" s="9" t="n">
        <v>5</v>
      </c>
    </row>
    <row r="23">
      <c r="A23" s="9" t="n">
        <v>22</v>
      </c>
      <c r="B23" s="9" t="inlineStr">
        <is>
          <t>אמיר ח'ניפס</t>
        </is>
      </c>
      <c r="C23" s="9" t="n">
        <v>4</v>
      </c>
      <c r="D23" s="9" t="n">
        <v>2</v>
      </c>
      <c r="E23" s="9" t="n">
        <v>3</v>
      </c>
      <c r="F23" s="9" t="n">
        <v>3</v>
      </c>
      <c r="G23" s="9" t="n">
        <v>4</v>
      </c>
      <c r="H23" s="9" t="n">
        <v>2</v>
      </c>
      <c r="I23" s="9" t="n">
        <v>3</v>
      </c>
      <c r="J23" s="9" t="n">
        <v>4</v>
      </c>
      <c r="K23" s="9" t="n">
        <v>4</v>
      </c>
      <c r="L23" s="9" t="n">
        <v>2</v>
      </c>
      <c r="M23" s="9" t="n">
        <v>3</v>
      </c>
      <c r="N23" s="9" t="n">
        <v>4</v>
      </c>
      <c r="O23" s="9" t="n">
        <v>4</v>
      </c>
      <c r="P23" s="9" t="n">
        <v>2</v>
      </c>
      <c r="Q23" s="9" t="n">
        <v>3</v>
      </c>
      <c r="R23" s="9" t="n">
        <v>4</v>
      </c>
      <c r="S23" s="9" t="n">
        <v>4</v>
      </c>
      <c r="T23" s="9" t="n">
        <v>2</v>
      </c>
      <c r="U23" s="9" t="n">
        <v>3</v>
      </c>
      <c r="V23" s="9" t="n">
        <v>4</v>
      </c>
    </row>
    <row r="24">
      <c r="A24" s="9" t="n">
        <v>23</v>
      </c>
      <c r="B24" s="9" t="inlineStr">
        <is>
          <t>הדס רגולסקי</t>
        </is>
      </c>
      <c r="C24" s="9" t="n">
        <v>4</v>
      </c>
      <c r="D24" s="9" t="n">
        <v>2</v>
      </c>
      <c r="E24" s="9" t="n">
        <v>3</v>
      </c>
      <c r="F24" s="9" t="n">
        <v>3</v>
      </c>
      <c r="G24" s="9" t="n">
        <v>4</v>
      </c>
      <c r="H24" s="9" t="n">
        <v>2</v>
      </c>
      <c r="I24" s="9" t="n">
        <v>3</v>
      </c>
      <c r="J24" s="9" t="n">
        <v>4</v>
      </c>
      <c r="K24" s="9" t="n">
        <v>4</v>
      </c>
      <c r="L24" s="9" t="n">
        <v>3</v>
      </c>
      <c r="M24" s="9" t="n">
        <v>3</v>
      </c>
      <c r="N24" s="9" t="n">
        <v>4</v>
      </c>
      <c r="O24" s="9" t="n">
        <v>4</v>
      </c>
      <c r="P24" s="9" t="n">
        <v>3</v>
      </c>
      <c r="Q24" s="9" t="n">
        <v>3</v>
      </c>
      <c r="R24" s="9" t="n">
        <v>4</v>
      </c>
      <c r="S24" s="9" t="n">
        <v>4</v>
      </c>
      <c r="T24" s="9" t="n">
        <v>2</v>
      </c>
      <c r="U24" s="9" t="n">
        <v>4</v>
      </c>
      <c r="V24" s="9" t="n">
        <v>4</v>
      </c>
    </row>
    <row r="25">
      <c r="A25" s="9" t="n">
        <v>24</v>
      </c>
      <c r="B25" s="9" t="inlineStr">
        <is>
          <t>אבישי ליכטנשטיין</t>
        </is>
      </c>
      <c r="C25" s="9" t="n">
        <v>3</v>
      </c>
      <c r="D25" s="9" t="n">
        <v>1</v>
      </c>
      <c r="E25" s="9" t="n">
        <v>2</v>
      </c>
      <c r="F25" s="9" t="n">
        <v>2</v>
      </c>
      <c r="G25" s="9" t="n">
        <v>3</v>
      </c>
      <c r="H25" s="9" t="n">
        <v>1</v>
      </c>
      <c r="I25" s="9" t="n">
        <v>2</v>
      </c>
      <c r="J25" s="9" t="n">
        <v>2</v>
      </c>
      <c r="K25" s="9" t="n">
        <v>3</v>
      </c>
      <c r="L25" s="9" t="n">
        <v>1</v>
      </c>
      <c r="M25" s="9" t="n">
        <v>2</v>
      </c>
      <c r="N25" s="9" t="n">
        <v>2</v>
      </c>
      <c r="O25" s="9" t="n">
        <v>3</v>
      </c>
      <c r="P25" s="9" t="n">
        <v>1</v>
      </c>
      <c r="Q25" s="9" t="n">
        <v>2</v>
      </c>
      <c r="R25" s="9" t="n">
        <v>2</v>
      </c>
      <c r="S25" s="9" t="n">
        <v>4</v>
      </c>
      <c r="T25" s="9" t="n">
        <v>2</v>
      </c>
      <c r="U25" s="9" t="n">
        <v>2</v>
      </c>
      <c r="V25" s="9" t="n">
        <v>4</v>
      </c>
    </row>
    <row r="26">
      <c r="A26" s="9" t="n">
        <v>25</v>
      </c>
      <c r="B26" s="9" t="inlineStr">
        <is>
          <t>חן אריאלי</t>
        </is>
      </c>
      <c r="C26" s="9" t="n">
        <v>4</v>
      </c>
      <c r="D26" s="9" t="n">
        <v>2</v>
      </c>
      <c r="E26" s="9" t="n">
        <v>3</v>
      </c>
      <c r="F26" s="9" t="n">
        <v>3</v>
      </c>
      <c r="G26" s="9" t="n">
        <v>4</v>
      </c>
      <c r="H26" s="9" t="n">
        <v>2</v>
      </c>
      <c r="I26" s="9" t="n">
        <v>3</v>
      </c>
      <c r="J26" s="9" t="n">
        <v>4</v>
      </c>
      <c r="K26" s="9" t="n">
        <v>4</v>
      </c>
      <c r="L26" s="9" t="n">
        <v>3</v>
      </c>
      <c r="M26" s="9" t="n">
        <v>4</v>
      </c>
      <c r="N26" s="9" t="n">
        <v>4</v>
      </c>
      <c r="O26" s="9" t="n">
        <v>4</v>
      </c>
      <c r="P26" s="9" t="n">
        <v>3</v>
      </c>
      <c r="Q26" s="9" t="n">
        <v>4</v>
      </c>
      <c r="R26" s="9" t="n">
        <v>4</v>
      </c>
      <c r="S26" s="9" t="n">
        <v>4</v>
      </c>
      <c r="T26" s="9" t="n">
        <v>2</v>
      </c>
      <c r="U26" s="9" t="n">
        <v>3</v>
      </c>
      <c r="V26" s="9" t="n">
        <v>4</v>
      </c>
    </row>
    <row r="27">
      <c r="A27" s="9" t="n">
        <v>26</v>
      </c>
      <c r="B27" s="9" t="inlineStr">
        <is>
          <t>מיכל רוזין</t>
        </is>
      </c>
      <c r="C27" s="9" t="n">
        <v>4</v>
      </c>
      <c r="D27" s="9" t="n">
        <v>3</v>
      </c>
      <c r="E27" s="9" t="n">
        <v>4</v>
      </c>
      <c r="F27" s="9" t="n">
        <v>4</v>
      </c>
      <c r="G27" s="9" t="n">
        <v>5</v>
      </c>
      <c r="H27" s="9" t="n">
        <v>3</v>
      </c>
      <c r="I27" s="9" t="n">
        <v>4</v>
      </c>
      <c r="J27" s="9" t="n">
        <v>5</v>
      </c>
      <c r="K27" s="9" t="n">
        <v>4</v>
      </c>
      <c r="L27" s="9" t="n">
        <v>2</v>
      </c>
      <c r="M27" s="9" t="n">
        <v>3</v>
      </c>
      <c r="N27" s="9" t="n">
        <v>4</v>
      </c>
      <c r="O27" s="9" t="n">
        <v>4</v>
      </c>
      <c r="P27" s="9" t="n">
        <v>3</v>
      </c>
      <c r="Q27" s="9" t="n">
        <v>4</v>
      </c>
      <c r="R27" s="9" t="n">
        <v>4</v>
      </c>
      <c r="S27" s="9" t="n">
        <v>5</v>
      </c>
      <c r="T27" s="9" t="n">
        <v>3</v>
      </c>
      <c r="U27" s="9" t="n">
        <v>4</v>
      </c>
      <c r="V27" s="9" t="n">
        <v>5</v>
      </c>
    </row>
    <row r="28">
      <c r="A28" s="9" t="n">
        <v>27</v>
      </c>
      <c r="B28" s="9" t="inlineStr">
        <is>
          <t>ערן ניסן</t>
        </is>
      </c>
      <c r="C28" s="9" t="n">
        <v>2</v>
      </c>
      <c r="D28" s="9" t="n">
        <v>1</v>
      </c>
      <c r="E28" s="9" t="n">
        <v>2</v>
      </c>
      <c r="F28" s="9" t="n">
        <v>2</v>
      </c>
      <c r="G28" s="9" t="n">
        <v>3</v>
      </c>
      <c r="H28" s="9" t="n">
        <v>1</v>
      </c>
      <c r="I28" s="9" t="n">
        <v>2</v>
      </c>
      <c r="J28" s="9" t="n">
        <v>2</v>
      </c>
      <c r="K28" s="9" t="n">
        <v>3</v>
      </c>
      <c r="L28" s="9" t="n">
        <v>1</v>
      </c>
      <c r="M28" s="9" t="n">
        <v>2</v>
      </c>
      <c r="N28" s="9" t="n">
        <v>2</v>
      </c>
      <c r="O28" s="9" t="n">
        <v>3</v>
      </c>
      <c r="P28" s="9" t="n">
        <v>1</v>
      </c>
      <c r="Q28" s="9" t="n">
        <v>2</v>
      </c>
      <c r="R28" s="9" t="n">
        <v>3</v>
      </c>
      <c r="S28" s="9" t="n">
        <v>3</v>
      </c>
      <c r="T28" s="9" t="n">
        <v>1</v>
      </c>
      <c r="U28" s="9" t="n">
        <v>2</v>
      </c>
      <c r="V28" s="9" t="n">
        <v>2</v>
      </c>
    </row>
    <row r="29">
      <c r="A29" s="9" t="n">
        <v>28</v>
      </c>
      <c r="B29" s="9" t="inlineStr">
        <is>
          <t>אפרת רייטן</t>
        </is>
      </c>
      <c r="C29" s="9" t="n">
        <v>4</v>
      </c>
      <c r="D29" s="9" t="n">
        <v>3</v>
      </c>
      <c r="E29" s="9" t="n">
        <v>4</v>
      </c>
      <c r="F29" s="9" t="n">
        <v>4</v>
      </c>
      <c r="G29" s="9" t="n">
        <v>5</v>
      </c>
      <c r="H29" s="9" t="n">
        <v>3</v>
      </c>
      <c r="I29" s="9" t="n">
        <v>4</v>
      </c>
      <c r="J29" s="9" t="n">
        <v>5</v>
      </c>
      <c r="K29" s="9" t="n">
        <v>4</v>
      </c>
      <c r="L29" s="9" t="n">
        <v>3</v>
      </c>
      <c r="M29" s="9" t="n">
        <v>3</v>
      </c>
      <c r="N29" s="9" t="n">
        <v>4</v>
      </c>
      <c r="O29" s="9" t="n">
        <v>4</v>
      </c>
      <c r="P29" s="9" t="n">
        <v>3</v>
      </c>
      <c r="Q29" s="9" t="n">
        <v>4</v>
      </c>
      <c r="R29" s="9" t="n">
        <v>4</v>
      </c>
      <c r="S29" s="9" t="n">
        <v>5</v>
      </c>
      <c r="T29" s="9" t="n">
        <v>3</v>
      </c>
      <c r="U29" s="9" t="n">
        <v>4</v>
      </c>
      <c r="V29" s="9" t="n">
        <v>5</v>
      </c>
    </row>
    <row r="30">
      <c r="A30" s="9" t="n">
        <v>29</v>
      </c>
      <c r="B30" s="9" t="inlineStr">
        <is>
          <t>קטי פיאסצקי</t>
        </is>
      </c>
      <c r="C30" s="9" t="n">
        <v>3</v>
      </c>
      <c r="D30" s="9" t="n">
        <v>1</v>
      </c>
      <c r="E30" s="9" t="n">
        <v>2</v>
      </c>
      <c r="F30" s="9" t="n">
        <v>2</v>
      </c>
      <c r="G30" s="9" t="n">
        <v>3</v>
      </c>
      <c r="H30" s="9" t="n">
        <v>2</v>
      </c>
      <c r="I30" s="9" t="n">
        <v>3</v>
      </c>
      <c r="J30" s="9" t="n">
        <v>3</v>
      </c>
      <c r="K30" s="9" t="n">
        <v>3</v>
      </c>
      <c r="L30" s="9" t="n">
        <v>1</v>
      </c>
      <c r="M30" s="9" t="n">
        <v>2</v>
      </c>
      <c r="N30" s="9" t="n">
        <v>2</v>
      </c>
      <c r="O30" s="9" t="n">
        <v>3</v>
      </c>
      <c r="P30" s="9" t="n">
        <v>1</v>
      </c>
      <c r="Q30" s="9" t="n">
        <v>2</v>
      </c>
      <c r="R30" s="9" t="n">
        <v>2</v>
      </c>
      <c r="S30" s="9" t="n">
        <v>3</v>
      </c>
      <c r="T30" s="9" t="n">
        <v>1</v>
      </c>
      <c r="U30" s="9" t="n">
        <v>2</v>
      </c>
      <c r="V30" s="9" t="n">
        <v>3</v>
      </c>
    </row>
    <row r="31">
      <c r="A31" s="9" t="n">
        <v>30</v>
      </c>
      <c r="B31" s="9" t="inlineStr">
        <is>
          <t>אחסאן חלאילה</t>
        </is>
      </c>
      <c r="C31" s="9" t="n">
        <v>3</v>
      </c>
      <c r="D31" s="9" t="n">
        <v>1</v>
      </c>
      <c r="E31" s="9" t="n">
        <v>2</v>
      </c>
      <c r="F31" s="9" t="n">
        <v>2</v>
      </c>
      <c r="G31" s="9" t="n">
        <v>3</v>
      </c>
      <c r="H31" s="9" t="n">
        <v>1</v>
      </c>
      <c r="I31" s="9" t="n">
        <v>2</v>
      </c>
      <c r="J31" s="9" t="n">
        <v>2</v>
      </c>
      <c r="K31" s="9" t="n">
        <v>3</v>
      </c>
      <c r="L31" s="9" t="n">
        <v>1</v>
      </c>
      <c r="M31" s="9" t="n">
        <v>2</v>
      </c>
      <c r="N31" s="9" t="n">
        <v>2</v>
      </c>
      <c r="O31" s="9" t="n">
        <v>3</v>
      </c>
      <c r="P31" s="9" t="n">
        <v>1</v>
      </c>
      <c r="Q31" s="9" t="n">
        <v>2</v>
      </c>
      <c r="R31" s="9" t="n">
        <v>2</v>
      </c>
      <c r="S31" s="9" t="n">
        <v>3</v>
      </c>
      <c r="T31" s="9" t="n">
        <v>1</v>
      </c>
      <c r="U31" s="9" t="n">
        <v>2</v>
      </c>
      <c r="V31" s="9" t="n">
        <v>3</v>
      </c>
    </row>
    <row r="32">
      <c r="A32" s="9" t="n">
        <v>31</v>
      </c>
      <c r="B32" s="9" t="inlineStr">
        <is>
          <t>נדאל מסאלחה</t>
        </is>
      </c>
      <c r="C32" s="9" t="n">
        <v>3</v>
      </c>
      <c r="D32" s="9" t="n">
        <v>1</v>
      </c>
      <c r="E32" s="9" t="n">
        <v>2</v>
      </c>
      <c r="F32" s="9" t="n">
        <v>2</v>
      </c>
      <c r="G32" s="9" t="n">
        <v>3</v>
      </c>
      <c r="H32" s="9" t="n">
        <v>1</v>
      </c>
      <c r="I32" s="9" t="n">
        <v>2</v>
      </c>
      <c r="J32" s="9" t="n">
        <v>2</v>
      </c>
      <c r="K32" s="9" t="n">
        <v>3</v>
      </c>
      <c r="L32" s="9" t="n">
        <v>1</v>
      </c>
      <c r="M32" s="9" t="n">
        <v>3</v>
      </c>
      <c r="N32" s="9" t="n">
        <v>3</v>
      </c>
      <c r="O32" s="9" t="n">
        <v>3</v>
      </c>
      <c r="P32" s="9" t="n">
        <v>1</v>
      </c>
      <c r="Q32" s="9" t="n">
        <v>2</v>
      </c>
      <c r="R32" s="9" t="n">
        <v>2</v>
      </c>
      <c r="S32" s="9" t="n">
        <v>4</v>
      </c>
      <c r="T32" s="9" t="n">
        <v>1</v>
      </c>
      <c r="U32" s="9" t="n">
        <v>2</v>
      </c>
      <c r="V32" s="9" t="n">
        <v>3</v>
      </c>
    </row>
    <row r="33">
      <c r="A33" s="9" t="n">
        <v>32</v>
      </c>
      <c r="B33" s="9" t="inlineStr">
        <is>
          <t>ענבל וורטמן שהם</t>
        </is>
      </c>
      <c r="C33" s="9" t="n">
        <v>3</v>
      </c>
      <c r="D33" s="9" t="n">
        <v>1</v>
      </c>
      <c r="E33" s="9" t="n">
        <v>2</v>
      </c>
      <c r="F33" s="9" t="n">
        <v>2</v>
      </c>
      <c r="G33" s="9" t="n">
        <v>3</v>
      </c>
      <c r="H33" s="9" t="n">
        <v>2</v>
      </c>
      <c r="I33" s="9" t="n">
        <v>3</v>
      </c>
      <c r="J33" s="9" t="n">
        <v>3</v>
      </c>
      <c r="K33" s="9" t="n">
        <v>3</v>
      </c>
      <c r="L33" s="9" t="n">
        <v>1</v>
      </c>
      <c r="M33" s="9" t="n">
        <v>2</v>
      </c>
      <c r="N33" s="9" t="n">
        <v>2</v>
      </c>
      <c r="O33" s="9" t="n">
        <v>3</v>
      </c>
      <c r="P33" s="9" t="n">
        <v>1</v>
      </c>
      <c r="Q33" s="9" t="n">
        <v>2</v>
      </c>
      <c r="R33" s="9" t="n">
        <v>2</v>
      </c>
      <c r="S33" s="9" t="n">
        <v>4</v>
      </c>
      <c r="T33" s="9" t="n">
        <v>2</v>
      </c>
      <c r="U33" s="9" t="n">
        <v>2</v>
      </c>
      <c r="V33" s="9" t="n">
        <v>4</v>
      </c>
    </row>
    <row r="34">
      <c r="A34" s="9" t="n">
        <v>33</v>
      </c>
      <c r="B34" s="9" t="inlineStr">
        <is>
          <t>יאיא פינק</t>
        </is>
      </c>
      <c r="C34" s="9" t="n">
        <v>4</v>
      </c>
      <c r="D34" s="9" t="n">
        <v>2</v>
      </c>
      <c r="E34" s="9" t="n">
        <v>3</v>
      </c>
      <c r="F34" s="9" t="n">
        <v>4</v>
      </c>
      <c r="G34" s="9" t="n">
        <v>4</v>
      </c>
      <c r="H34" s="9" t="n">
        <v>2</v>
      </c>
      <c r="I34" s="9" t="n">
        <v>4</v>
      </c>
      <c r="J34" s="9" t="n">
        <v>4</v>
      </c>
      <c r="K34" s="9" t="n">
        <v>5</v>
      </c>
      <c r="L34" s="9" t="n">
        <v>3</v>
      </c>
      <c r="M34" s="9" t="n">
        <v>4</v>
      </c>
      <c r="N34" s="9" t="n">
        <v>5</v>
      </c>
      <c r="O34" s="9" t="n">
        <v>5</v>
      </c>
      <c r="P34" s="9" t="n">
        <v>3</v>
      </c>
      <c r="Q34" s="9" t="n">
        <v>4</v>
      </c>
      <c r="R34" s="9" t="n">
        <v>5</v>
      </c>
      <c r="S34" s="9" t="n">
        <v>4</v>
      </c>
      <c r="T34" s="9" t="n">
        <v>3</v>
      </c>
      <c r="U34" s="9" t="n">
        <v>3</v>
      </c>
      <c r="V34" s="9" t="n">
        <v>4</v>
      </c>
    </row>
    <row r="35">
      <c r="A35" s="9" t="n">
        <v>34</v>
      </c>
      <c r="B35" s="9" t="inlineStr">
        <is>
          <t>עאיד בדיר</t>
        </is>
      </c>
      <c r="C35" s="9" t="n">
        <v>3</v>
      </c>
      <c r="D35" s="9" t="n">
        <v>1</v>
      </c>
      <c r="E35" s="9" t="n">
        <v>2</v>
      </c>
      <c r="F35" s="9" t="n">
        <v>2</v>
      </c>
      <c r="G35" s="9" t="n">
        <v>3</v>
      </c>
      <c r="H35" s="9" t="n">
        <v>1</v>
      </c>
      <c r="I35" s="9" t="n">
        <v>2</v>
      </c>
      <c r="J35" s="9" t="n">
        <v>2</v>
      </c>
      <c r="K35" s="9" t="n">
        <v>3</v>
      </c>
      <c r="L35" s="9" t="n">
        <v>1</v>
      </c>
      <c r="M35" s="9" t="n">
        <v>2</v>
      </c>
      <c r="N35" s="9" t="n">
        <v>2</v>
      </c>
      <c r="O35" s="9" t="n">
        <v>3</v>
      </c>
      <c r="P35" s="9" t="n">
        <v>2</v>
      </c>
      <c r="Q35" s="9" t="n">
        <v>2</v>
      </c>
      <c r="R35" s="9" t="n">
        <v>3</v>
      </c>
      <c r="S35" s="9" t="n">
        <v>4</v>
      </c>
      <c r="T35" s="9" t="n">
        <v>2</v>
      </c>
      <c r="U35" s="9" t="n">
        <v>3</v>
      </c>
      <c r="V35" s="9" t="n">
        <v>4</v>
      </c>
    </row>
    <row r="36">
      <c r="A36" s="9" t="n">
        <v>35</v>
      </c>
      <c r="B36" s="9" t="inlineStr">
        <is>
          <t>נאווה רוזוליו</t>
        </is>
      </c>
      <c r="C36" s="9" t="n">
        <v>4</v>
      </c>
      <c r="D36" s="9" t="n">
        <v>2</v>
      </c>
      <c r="E36" s="9" t="n">
        <v>2</v>
      </c>
      <c r="F36" s="9" t="n">
        <v>3</v>
      </c>
      <c r="G36" s="9" t="n">
        <v>4</v>
      </c>
      <c r="H36" s="9" t="n">
        <v>2</v>
      </c>
      <c r="I36" s="9" t="n">
        <v>3</v>
      </c>
      <c r="J36" s="9" t="n">
        <v>4</v>
      </c>
      <c r="K36" s="9" t="n">
        <v>4</v>
      </c>
      <c r="L36" s="9" t="n">
        <v>2</v>
      </c>
      <c r="M36" s="9" t="n">
        <v>4</v>
      </c>
      <c r="N36" s="9" t="n">
        <v>4</v>
      </c>
      <c r="O36" s="9" t="n">
        <v>3</v>
      </c>
      <c r="P36" s="9" t="n">
        <v>2</v>
      </c>
      <c r="Q36" s="9" t="n">
        <v>3</v>
      </c>
      <c r="R36" s="9" t="n">
        <v>3</v>
      </c>
      <c r="S36" s="9" t="n">
        <v>4</v>
      </c>
      <c r="T36" s="9" t="n">
        <v>2</v>
      </c>
      <c r="U36" s="9" t="n">
        <v>3</v>
      </c>
      <c r="V36" s="9" t="n">
        <v>4</v>
      </c>
    </row>
    <row r="37">
      <c r="A37" s="9" t="n">
        <v>36</v>
      </c>
      <c r="B37" s="9" t="inlineStr">
        <is>
          <t>מאלכ בדר</t>
        </is>
      </c>
      <c r="C37" s="9" t="n">
        <v>3</v>
      </c>
      <c r="D37" s="9" t="n">
        <v>1</v>
      </c>
      <c r="E37" s="9" t="n">
        <v>2</v>
      </c>
      <c r="F37" s="9" t="n">
        <v>2</v>
      </c>
      <c r="G37" s="9" t="n">
        <v>4</v>
      </c>
      <c r="H37" s="9" t="n">
        <v>2</v>
      </c>
      <c r="I37" s="9" t="n">
        <v>3</v>
      </c>
      <c r="J37" s="9" t="n">
        <v>4</v>
      </c>
      <c r="K37" s="9" t="n">
        <v>3</v>
      </c>
      <c r="L37" s="9" t="n">
        <v>1</v>
      </c>
      <c r="M37" s="9" t="n">
        <v>2</v>
      </c>
      <c r="N37" s="9" t="n">
        <v>2</v>
      </c>
      <c r="O37" s="9" t="n">
        <v>4</v>
      </c>
      <c r="P37" s="9" t="n">
        <v>2</v>
      </c>
      <c r="Q37" s="9" t="n">
        <v>3</v>
      </c>
      <c r="R37" s="9" t="n">
        <v>4</v>
      </c>
      <c r="S37" s="9" t="n">
        <v>4</v>
      </c>
      <c r="T37" s="9" t="n">
        <v>2</v>
      </c>
      <c r="U37" s="9" t="n">
        <v>3</v>
      </c>
      <c r="V37" s="9" t="n">
        <v>4</v>
      </c>
    </row>
    <row r="38">
      <c r="A38" s="9" t="n">
        <v>37</v>
      </c>
      <c r="B38" s="9" t="inlineStr">
        <is>
          <t>איתי לשם</t>
        </is>
      </c>
      <c r="C38" s="9" t="n">
        <v>3</v>
      </c>
      <c r="D38" s="9" t="n">
        <v>1</v>
      </c>
      <c r="E38" s="9" t="n">
        <v>2</v>
      </c>
      <c r="F38" s="9" t="n">
        <v>2</v>
      </c>
      <c r="G38" s="9" t="n">
        <v>3</v>
      </c>
      <c r="H38" s="9" t="n">
        <v>1</v>
      </c>
      <c r="I38" s="9" t="n">
        <v>2</v>
      </c>
      <c r="J38" s="9" t="n">
        <v>2</v>
      </c>
      <c r="K38" s="9" t="n">
        <v>4</v>
      </c>
      <c r="L38" s="9" t="n">
        <v>2</v>
      </c>
      <c r="M38" s="9" t="n">
        <v>3</v>
      </c>
      <c r="N38" s="9" t="n">
        <v>3</v>
      </c>
      <c r="O38" s="9" t="n">
        <v>3</v>
      </c>
      <c r="P38" s="9" t="n">
        <v>1</v>
      </c>
      <c r="Q38" s="9" t="n">
        <v>2</v>
      </c>
      <c r="R38" s="9" t="n">
        <v>2</v>
      </c>
      <c r="S38" s="9" t="n">
        <v>3</v>
      </c>
      <c r="T38" s="9" t="n">
        <v>1</v>
      </c>
      <c r="U38" s="9" t="n">
        <v>2</v>
      </c>
      <c r="V38" s="9" t="n">
        <v>2</v>
      </c>
    </row>
    <row r="39">
      <c r="A39" s="9" t="n">
        <v>38</v>
      </c>
      <c r="B39" s="9" t="inlineStr">
        <is>
          <t>גלעד קריב</t>
        </is>
      </c>
      <c r="C39" s="9" t="n">
        <v>4</v>
      </c>
      <c r="D39" s="9" t="n">
        <v>3</v>
      </c>
      <c r="E39" s="9" t="n">
        <v>4</v>
      </c>
      <c r="F39" s="9" t="n">
        <v>4</v>
      </c>
      <c r="G39" s="9" t="n">
        <v>5</v>
      </c>
      <c r="H39" s="9" t="n">
        <v>3</v>
      </c>
      <c r="I39" s="9" t="n">
        <v>4</v>
      </c>
      <c r="J39" s="9" t="n">
        <v>5</v>
      </c>
      <c r="K39" s="9" t="n">
        <v>4</v>
      </c>
      <c r="L39" s="9" t="n">
        <v>3</v>
      </c>
      <c r="M39" s="9" t="n">
        <v>4</v>
      </c>
      <c r="N39" s="9" t="n">
        <v>4</v>
      </c>
      <c r="O39" s="9" t="n">
        <v>4</v>
      </c>
      <c r="P39" s="9" t="n">
        <v>3</v>
      </c>
      <c r="Q39" s="9" t="n">
        <v>4</v>
      </c>
      <c r="R39" s="9" t="n">
        <v>4</v>
      </c>
      <c r="S39" s="9" t="n">
        <v>5</v>
      </c>
      <c r="T39" s="9" t="n">
        <v>3</v>
      </c>
      <c r="U39" s="9" t="n">
        <v>4</v>
      </c>
      <c r="V39" s="9" t="n">
        <v>5</v>
      </c>
    </row>
    <row r="40">
      <c r="A40" s="9" t="n">
        <v>39</v>
      </c>
      <c r="B40" s="9" t="inlineStr">
        <is>
          <t>גאלב סלאמנה</t>
        </is>
      </c>
      <c r="C40" s="9" t="n">
        <v>3</v>
      </c>
      <c r="D40" s="9" t="n">
        <v>1</v>
      </c>
      <c r="E40" s="9" t="n">
        <v>2</v>
      </c>
      <c r="F40" s="9" t="n">
        <v>2</v>
      </c>
      <c r="G40" s="9" t="n">
        <v>3</v>
      </c>
      <c r="H40" s="9" t="n">
        <v>1</v>
      </c>
      <c r="I40" s="9" t="n">
        <v>2</v>
      </c>
      <c r="J40" s="9" t="n">
        <v>2</v>
      </c>
      <c r="K40" s="9" t="n">
        <v>3</v>
      </c>
      <c r="L40" s="9" t="n">
        <v>1</v>
      </c>
      <c r="M40" s="9" t="n">
        <v>3</v>
      </c>
      <c r="N40" s="9" t="n">
        <v>3</v>
      </c>
      <c r="O40" s="9" t="n">
        <v>3</v>
      </c>
      <c r="P40" s="9" t="n">
        <v>1</v>
      </c>
      <c r="Q40" s="9" t="n">
        <v>2</v>
      </c>
      <c r="R40" s="9" t="n">
        <v>2</v>
      </c>
      <c r="S40" s="9" t="n">
        <v>3</v>
      </c>
      <c r="T40" s="9" t="n">
        <v>1</v>
      </c>
      <c r="U40" s="9" t="n">
        <v>2</v>
      </c>
      <c r="V40" s="9" t="n">
        <v>2</v>
      </c>
    </row>
    <row r="41">
      <c r="A41" s="9" t="n">
        <v>40</v>
      </c>
      <c r="B41" s="9" t="inlineStr">
        <is>
          <t>יואב אגמי</t>
        </is>
      </c>
      <c r="C41" s="9" t="n">
        <v>3</v>
      </c>
      <c r="D41" s="9" t="n">
        <v>1</v>
      </c>
      <c r="E41" s="9" t="n">
        <v>2</v>
      </c>
      <c r="F41" s="9" t="n">
        <v>2</v>
      </c>
      <c r="G41" s="9" t="n">
        <v>3</v>
      </c>
      <c r="H41" s="9" t="n">
        <v>1</v>
      </c>
      <c r="I41" s="9" t="n">
        <v>2</v>
      </c>
      <c r="J41" s="9" t="n">
        <v>2</v>
      </c>
      <c r="K41" s="9" t="n">
        <v>3</v>
      </c>
      <c r="L41" s="9" t="n">
        <v>1</v>
      </c>
      <c r="M41" s="9" t="n">
        <v>2</v>
      </c>
      <c r="N41" s="9" t="n">
        <v>2</v>
      </c>
      <c r="O41" s="9" t="n">
        <v>3</v>
      </c>
      <c r="P41" s="9" t="n">
        <v>1</v>
      </c>
      <c r="Q41" s="9" t="n">
        <v>2</v>
      </c>
      <c r="R41" s="9" t="n">
        <v>2</v>
      </c>
      <c r="S41" s="9" t="n">
        <v>3</v>
      </c>
      <c r="T41" s="9" t="n">
        <v>1</v>
      </c>
      <c r="U41" s="9" t="n">
        <v>2</v>
      </c>
      <c r="V41" s="9" t="n">
        <v>2</v>
      </c>
    </row>
    <row r="42">
      <c r="A42" s="9" t="n">
        <v>41</v>
      </c>
      <c r="B42" s="9" t="inlineStr">
        <is>
          <t>אמילי מואטי</t>
        </is>
      </c>
      <c r="C42" s="9" t="n">
        <v>4</v>
      </c>
      <c r="D42" s="9" t="n">
        <v>2</v>
      </c>
      <c r="E42" s="9" t="n">
        <v>2</v>
      </c>
      <c r="F42" s="9" t="n">
        <v>3</v>
      </c>
      <c r="G42" s="9" t="n">
        <v>4</v>
      </c>
      <c r="H42" s="9" t="n">
        <v>2</v>
      </c>
      <c r="I42" s="9" t="n">
        <v>3</v>
      </c>
      <c r="J42" s="9" t="n">
        <v>3</v>
      </c>
      <c r="K42" s="9" t="n">
        <v>4</v>
      </c>
      <c r="L42" s="9" t="n">
        <v>2</v>
      </c>
      <c r="M42" s="9" t="n">
        <v>3</v>
      </c>
      <c r="N42" s="9" t="n">
        <v>3</v>
      </c>
      <c r="O42" s="9" t="n">
        <v>3</v>
      </c>
      <c r="P42" s="9" t="n">
        <v>2</v>
      </c>
      <c r="Q42" s="9" t="n">
        <v>3</v>
      </c>
      <c r="R42" s="9" t="n">
        <v>3</v>
      </c>
      <c r="S42" s="9" t="n">
        <v>4</v>
      </c>
      <c r="T42" s="9" t="n">
        <v>2</v>
      </c>
      <c r="U42" s="9" t="n">
        <v>3</v>
      </c>
      <c r="V42" s="9" t="n">
        <v>4</v>
      </c>
    </row>
    <row r="43">
      <c r="A43" s="9" t="n">
        <v>42</v>
      </c>
      <c r="B43" s="9" t="inlineStr">
        <is>
          <t>אביתר באר</t>
        </is>
      </c>
      <c r="C43" s="9" t="n">
        <v>3</v>
      </c>
      <c r="D43" s="9" t="n">
        <v>1</v>
      </c>
      <c r="E43" s="9" t="n">
        <v>2</v>
      </c>
      <c r="F43" s="9" t="n">
        <v>2</v>
      </c>
      <c r="G43" s="9" t="n">
        <v>3</v>
      </c>
      <c r="H43" s="9" t="n">
        <v>1</v>
      </c>
      <c r="I43" s="9" t="n">
        <v>2</v>
      </c>
      <c r="J43" s="9" t="n">
        <v>2</v>
      </c>
      <c r="K43" s="9" t="n">
        <v>3</v>
      </c>
      <c r="L43" s="9" t="n">
        <v>1</v>
      </c>
      <c r="M43" s="9" t="n">
        <v>2</v>
      </c>
      <c r="N43" s="9" t="n">
        <v>2</v>
      </c>
      <c r="O43" s="9" t="n">
        <v>3</v>
      </c>
      <c r="P43" s="9" t="n">
        <v>1</v>
      </c>
      <c r="Q43" s="9" t="n">
        <v>2</v>
      </c>
      <c r="R43" s="9" t="n">
        <v>2</v>
      </c>
      <c r="S43" s="9" t="n">
        <v>3</v>
      </c>
      <c r="T43" s="9" t="n">
        <v>1</v>
      </c>
      <c r="U43" s="9" t="n">
        <v>2</v>
      </c>
      <c r="V43" s="9" t="n">
        <v>2</v>
      </c>
    </row>
    <row r="44">
      <c r="A44" s="9" t="n">
        <v>43</v>
      </c>
      <c r="B44" s="9" t="inlineStr">
        <is>
          <t>תומר אביטל</t>
        </is>
      </c>
      <c r="C44" s="9" t="n">
        <v>5</v>
      </c>
      <c r="D44" s="9" t="n">
        <v>3</v>
      </c>
      <c r="E44" s="9" t="n">
        <v>4</v>
      </c>
      <c r="F44" s="9" t="n">
        <v>5</v>
      </c>
      <c r="G44" s="9" t="n">
        <v>5</v>
      </c>
      <c r="H44" s="9" t="n">
        <v>3</v>
      </c>
      <c r="I44" s="9" t="n">
        <v>4</v>
      </c>
      <c r="J44" s="9" t="n">
        <v>5</v>
      </c>
      <c r="K44" s="9" t="n">
        <v>4</v>
      </c>
      <c r="L44" s="9" t="n">
        <v>2</v>
      </c>
      <c r="M44" s="9" t="n">
        <v>4</v>
      </c>
      <c r="N44" s="9" t="n">
        <v>4</v>
      </c>
      <c r="O44" s="9" t="n">
        <v>3</v>
      </c>
      <c r="P44" s="9" t="n">
        <v>2</v>
      </c>
      <c r="Q44" s="9" t="n">
        <v>3</v>
      </c>
      <c r="R44" s="9" t="n">
        <v>3</v>
      </c>
      <c r="S44" s="9" t="n">
        <v>4</v>
      </c>
      <c r="T44" s="9" t="n">
        <v>2</v>
      </c>
      <c r="U44" s="9" t="n">
        <v>4</v>
      </c>
      <c r="V44" s="9" t="n">
        <v>4</v>
      </c>
    </row>
    <row r="45">
      <c r="A45" s="9" t="n">
        <v>44</v>
      </c>
      <c r="B45" s="9" t="inlineStr">
        <is>
          <t>סומיה בשיר</t>
        </is>
      </c>
      <c r="C45" s="9" t="n">
        <v>2</v>
      </c>
      <c r="D45" s="9" t="n">
        <v>1</v>
      </c>
      <c r="E45" s="9" t="n">
        <v>2</v>
      </c>
      <c r="F45" s="9" t="n">
        <v>2</v>
      </c>
      <c r="G45" s="9" t="n">
        <v>4</v>
      </c>
      <c r="H45" s="9" t="n">
        <v>2</v>
      </c>
      <c r="I45" s="9" t="n">
        <v>3</v>
      </c>
      <c r="J45" s="9" t="n">
        <v>4</v>
      </c>
      <c r="K45" s="9" t="n">
        <v>3</v>
      </c>
      <c r="L45" s="9" t="n">
        <v>1</v>
      </c>
      <c r="M45" s="9" t="n">
        <v>2</v>
      </c>
      <c r="N45" s="9" t="n">
        <v>2</v>
      </c>
      <c r="O45" s="9" t="n">
        <v>4</v>
      </c>
      <c r="P45" s="9" t="n">
        <v>2</v>
      </c>
      <c r="Q45" s="9" t="n">
        <v>3</v>
      </c>
      <c r="R45" s="9" t="n">
        <v>4</v>
      </c>
      <c r="S45" s="9" t="n">
        <v>3</v>
      </c>
      <c r="T45" s="9" t="n">
        <v>1</v>
      </c>
      <c r="U45" s="9" t="n">
        <v>2</v>
      </c>
      <c r="V45" s="9" t="n">
        <v>2</v>
      </c>
    </row>
    <row r="46">
      <c r="A46" s="9" t="n">
        <v>45</v>
      </c>
      <c r="B46" s="9" t="inlineStr">
        <is>
          <t>מורן מישל</t>
        </is>
      </c>
      <c r="C46" s="9" t="n">
        <v>3</v>
      </c>
      <c r="D46" s="9" t="n">
        <v>1</v>
      </c>
      <c r="E46" s="9" t="n">
        <v>2</v>
      </c>
      <c r="F46" s="9" t="n">
        <v>2</v>
      </c>
      <c r="G46" s="9" t="n">
        <v>3</v>
      </c>
      <c r="H46" s="9" t="n">
        <v>2</v>
      </c>
      <c r="I46" s="9" t="n">
        <v>3</v>
      </c>
      <c r="J46" s="9" t="n">
        <v>3</v>
      </c>
      <c r="K46" s="9" t="n">
        <v>3</v>
      </c>
      <c r="L46" s="9" t="n">
        <v>1</v>
      </c>
      <c r="M46" s="9" t="n">
        <v>2</v>
      </c>
      <c r="N46" s="9" t="n">
        <v>2</v>
      </c>
      <c r="O46" s="9" t="n">
        <v>3</v>
      </c>
      <c r="P46" s="9" t="n">
        <v>3</v>
      </c>
      <c r="Q46" s="9" t="n">
        <v>2</v>
      </c>
      <c r="R46" s="9" t="n">
        <v>3</v>
      </c>
      <c r="S46" s="9" t="n">
        <v>3</v>
      </c>
      <c r="T46" s="9" t="n">
        <v>1</v>
      </c>
      <c r="U46" s="9" t="n">
        <v>2</v>
      </c>
      <c r="V46" s="9" t="n">
        <v>2</v>
      </c>
    </row>
    <row r="47">
      <c r="A47" s="9" t="n">
        <v>46</v>
      </c>
      <c r="B47" s="9" t="inlineStr">
        <is>
          <t>גבי לסקי</t>
        </is>
      </c>
      <c r="C47" s="9" t="n">
        <v>4</v>
      </c>
      <c r="D47" s="9" t="n">
        <v>2</v>
      </c>
      <c r="E47" s="9" t="n">
        <v>3</v>
      </c>
      <c r="F47" s="9" t="n">
        <v>4</v>
      </c>
      <c r="G47" s="9" t="n">
        <v>4</v>
      </c>
      <c r="H47" s="9" t="n">
        <v>2</v>
      </c>
      <c r="I47" s="9" t="n">
        <v>4</v>
      </c>
      <c r="J47" s="9" t="n">
        <v>4</v>
      </c>
      <c r="K47" s="9" t="n">
        <v>5</v>
      </c>
      <c r="L47" s="9" t="n">
        <v>3</v>
      </c>
      <c r="M47" s="9" t="n">
        <v>4</v>
      </c>
      <c r="N47" s="9" t="n">
        <v>5</v>
      </c>
      <c r="O47" s="9" t="n">
        <v>3</v>
      </c>
      <c r="P47" s="9" t="n">
        <v>2</v>
      </c>
      <c r="Q47" s="9" t="n">
        <v>2</v>
      </c>
      <c r="R47" s="9" t="n">
        <v>4</v>
      </c>
      <c r="S47" s="9" t="n">
        <v>5</v>
      </c>
      <c r="T47" s="9" t="n">
        <v>3</v>
      </c>
      <c r="U47" s="9" t="n">
        <v>4</v>
      </c>
      <c r="V47" s="9" t="n">
        <v>5</v>
      </c>
    </row>
    <row r="48">
      <c r="A48" s="9" t="n">
        <v>47</v>
      </c>
      <c r="B48" s="9" t="inlineStr">
        <is>
          <t>נעמה לזימי</t>
        </is>
      </c>
      <c r="C48" s="9" t="n">
        <v>4</v>
      </c>
      <c r="D48" s="9" t="n">
        <v>3</v>
      </c>
      <c r="E48" s="9" t="n">
        <v>3</v>
      </c>
      <c r="F48" s="9" t="n">
        <v>4</v>
      </c>
      <c r="G48" s="9" t="n">
        <v>5</v>
      </c>
      <c r="H48" s="9" t="n">
        <v>4</v>
      </c>
      <c r="I48" s="9" t="n">
        <v>4</v>
      </c>
      <c r="J48" s="9" t="n">
        <v>5</v>
      </c>
      <c r="K48" s="9" t="n">
        <v>4</v>
      </c>
      <c r="L48" s="9" t="n">
        <v>3</v>
      </c>
      <c r="M48" s="9" t="n">
        <v>4</v>
      </c>
      <c r="N48" s="9" t="n">
        <v>4</v>
      </c>
      <c r="O48" s="9" t="n">
        <v>4</v>
      </c>
      <c r="P48" s="9" t="n">
        <v>3</v>
      </c>
      <c r="Q48" s="9" t="n">
        <v>3</v>
      </c>
      <c r="R48" s="9" t="n">
        <v>4</v>
      </c>
      <c r="S48" s="9" t="n">
        <v>4</v>
      </c>
      <c r="T48" s="9" t="n">
        <v>3</v>
      </c>
      <c r="U48" s="9" t="n">
        <v>3</v>
      </c>
      <c r="V48" s="9" t="n">
        <v>4</v>
      </c>
    </row>
    <row r="49">
      <c r="A49" s="9" t="n">
        <v>48</v>
      </c>
      <c r="B49" s="9" t="inlineStr">
        <is>
          <t>איהאב שליאן</t>
        </is>
      </c>
      <c r="C49" s="9" t="n">
        <v>3</v>
      </c>
      <c r="D49" s="9" t="n">
        <v>1</v>
      </c>
      <c r="E49" s="9" t="n">
        <v>2</v>
      </c>
      <c r="F49" s="9" t="n">
        <v>2</v>
      </c>
      <c r="G49" s="9" t="n">
        <v>4</v>
      </c>
      <c r="H49" s="9" t="n">
        <v>2</v>
      </c>
      <c r="I49" s="9" t="n">
        <v>3</v>
      </c>
      <c r="J49" s="9" t="n">
        <v>4</v>
      </c>
      <c r="K49" s="9" t="n">
        <v>3</v>
      </c>
      <c r="L49" s="9" t="n">
        <v>1</v>
      </c>
      <c r="M49" s="9" t="n">
        <v>2</v>
      </c>
      <c r="N49" s="9" t="n">
        <v>2</v>
      </c>
      <c r="O49" s="9" t="n">
        <v>3</v>
      </c>
      <c r="P49" s="9" t="n">
        <v>1</v>
      </c>
      <c r="Q49" s="9" t="n">
        <v>2</v>
      </c>
      <c r="R49" s="9" t="n">
        <v>2</v>
      </c>
      <c r="S49" s="9" t="n">
        <v>4</v>
      </c>
      <c r="T49" s="9" t="n">
        <v>2</v>
      </c>
      <c r="U49" s="9" t="n">
        <v>3</v>
      </c>
      <c r="V49" s="9" t="n">
        <v>4</v>
      </c>
    </row>
    <row r="50">
      <c r="A50" s="9" t="n">
        <v>49</v>
      </c>
      <c r="B50" s="9" t="inlineStr">
        <is>
          <t>מוסי רז</t>
        </is>
      </c>
      <c r="C50" s="9" t="n">
        <v>4</v>
      </c>
      <c r="D50" s="9" t="n">
        <v>2</v>
      </c>
      <c r="E50" s="9" t="n">
        <v>3</v>
      </c>
      <c r="F50" s="9" t="n">
        <v>4</v>
      </c>
      <c r="G50" s="9" t="n">
        <v>5</v>
      </c>
      <c r="H50" s="9" t="n">
        <v>3</v>
      </c>
      <c r="I50" s="9" t="n">
        <v>4</v>
      </c>
      <c r="J50" s="9" t="n">
        <v>5</v>
      </c>
      <c r="K50" s="9" t="n">
        <v>4</v>
      </c>
      <c r="L50" s="9" t="n">
        <v>2</v>
      </c>
      <c r="M50" s="9" t="n">
        <v>3</v>
      </c>
      <c r="N50" s="9" t="n">
        <v>4</v>
      </c>
      <c r="O50" s="9" t="n">
        <v>3</v>
      </c>
      <c r="P50" s="9" t="n">
        <v>2</v>
      </c>
      <c r="Q50" s="9" t="n">
        <v>4</v>
      </c>
      <c r="R50" s="9" t="n">
        <v>3</v>
      </c>
      <c r="S50" s="9" t="n">
        <v>4</v>
      </c>
      <c r="T50" s="9" t="n">
        <v>3</v>
      </c>
      <c r="U50" s="9" t="n">
        <v>3</v>
      </c>
      <c r="V50" s="9" t="n">
        <v>4</v>
      </c>
    </row>
    <row r="51">
      <c r="A51" s="9" t="n">
        <v>50</v>
      </c>
      <c r="B51" s="9" t="inlineStr">
        <is>
          <t>עלי סלאלחה</t>
        </is>
      </c>
      <c r="C51" s="9" t="n">
        <v>4</v>
      </c>
      <c r="D51" s="9" t="n">
        <v>2</v>
      </c>
      <c r="E51" s="9" t="n">
        <v>3</v>
      </c>
      <c r="F51" s="9" t="n">
        <v>4</v>
      </c>
      <c r="G51" s="9" t="n">
        <v>4</v>
      </c>
      <c r="H51" s="9" t="n">
        <v>2</v>
      </c>
      <c r="I51" s="9" t="n">
        <v>3</v>
      </c>
      <c r="J51" s="9" t="n">
        <v>5</v>
      </c>
      <c r="K51" s="9" t="n">
        <v>4</v>
      </c>
      <c r="L51" s="9" t="n">
        <v>2</v>
      </c>
      <c r="M51" s="9" t="n">
        <v>3</v>
      </c>
      <c r="N51" s="9" t="n">
        <v>4</v>
      </c>
      <c r="O51" s="9" t="n">
        <v>4</v>
      </c>
      <c r="P51" s="9" t="n">
        <v>2</v>
      </c>
      <c r="Q51" s="9" t="n">
        <v>3</v>
      </c>
      <c r="R51" s="9" t="n">
        <v>4</v>
      </c>
      <c r="S51" s="9" t="n">
        <v>4</v>
      </c>
      <c r="T51" s="9" t="n">
        <v>2</v>
      </c>
      <c r="U51" s="9" t="n">
        <v>3</v>
      </c>
      <c r="V51" s="9" t="n">
        <v>5</v>
      </c>
    </row>
    <row r="52">
      <c r="A52" s="9" t="n">
        <v>51</v>
      </c>
      <c r="B52" s="9" t="inlineStr">
        <is>
          <t>נמרוד שפר</t>
        </is>
      </c>
      <c r="C52" s="9" t="n">
        <v>3</v>
      </c>
      <c r="D52" s="9" t="n">
        <v>1</v>
      </c>
      <c r="E52" s="9" t="n">
        <v>1</v>
      </c>
      <c r="F52" s="9" t="n">
        <v>2</v>
      </c>
      <c r="G52" s="9" t="n">
        <v>4</v>
      </c>
      <c r="H52" s="9" t="n">
        <v>2</v>
      </c>
      <c r="I52" s="9" t="n">
        <v>3</v>
      </c>
      <c r="J52" s="9" t="n">
        <v>4</v>
      </c>
      <c r="K52" s="9" t="n">
        <v>3</v>
      </c>
      <c r="L52" s="9" t="n">
        <v>2</v>
      </c>
      <c r="M52" s="9" t="n">
        <v>3</v>
      </c>
      <c r="N52" s="9" t="n">
        <v>3</v>
      </c>
      <c r="O52" s="9" t="n">
        <v>3</v>
      </c>
      <c r="P52" s="9" t="n">
        <v>2</v>
      </c>
      <c r="Q52" s="9" t="n">
        <v>2</v>
      </c>
      <c r="R52" s="9" t="n">
        <v>3</v>
      </c>
      <c r="S52" s="9" t="n">
        <v>5</v>
      </c>
      <c r="T52" s="9" t="n">
        <v>3</v>
      </c>
      <c r="U52" s="9" t="n">
        <v>4</v>
      </c>
      <c r="V52" s="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</cols>
  <sheetData>
    <row r="1">
      <c r="A1" s="8" t="inlineStr">
        <is>
          <t>מס'</t>
        </is>
      </c>
      <c r="B1" s="8" t="inlineStr">
        <is>
          <t>מועמד/ת</t>
        </is>
      </c>
      <c r="C1" s="8" t="inlineStr">
        <is>
          <t>T1</t>
        </is>
      </c>
      <c r="D1" s="8" t="inlineStr">
        <is>
          <t>T2</t>
        </is>
      </c>
      <c r="E1" s="8" t="inlineStr">
        <is>
          <t>T3</t>
        </is>
      </c>
      <c r="F1" s="8" t="inlineStr">
        <is>
          <t>T4</t>
        </is>
      </c>
      <c r="G1" s="8" t="inlineStr">
        <is>
          <t>T5</t>
        </is>
      </c>
      <c r="H1" s="8" t="inlineStr">
        <is>
          <t>T6</t>
        </is>
      </c>
      <c r="I1" s="8" t="inlineStr">
        <is>
          <t>T7</t>
        </is>
      </c>
      <c r="J1" s="8" t="inlineStr">
        <is>
          <t>T8</t>
        </is>
      </c>
      <c r="K1" s="8" t="inlineStr">
        <is>
          <t>T9</t>
        </is>
      </c>
      <c r="L1" s="8" t="inlineStr">
        <is>
          <t>T10</t>
        </is>
      </c>
      <c r="M1" s="8" t="inlineStr">
        <is>
          <t>ציון נושאים</t>
        </is>
      </c>
      <c r="N1" s="8" t="inlineStr">
        <is>
          <t>C1</t>
        </is>
      </c>
      <c r="O1" s="8" t="inlineStr">
        <is>
          <t>C2</t>
        </is>
      </c>
      <c r="P1" s="8" t="inlineStr">
        <is>
          <t>C3</t>
        </is>
      </c>
      <c r="Q1" s="8" t="inlineStr">
        <is>
          <t>C4</t>
        </is>
      </c>
      <c r="R1" s="8" t="inlineStr">
        <is>
          <t>C5</t>
        </is>
      </c>
      <c r="S1" s="8" t="inlineStr">
        <is>
          <t>ציון תכונות</t>
        </is>
      </c>
      <c r="T1" s="8" t="inlineStr">
        <is>
          <t>ביסוס</t>
        </is>
      </c>
      <c r="U1" s="8" t="inlineStr">
        <is>
          <t>ציון סופי (1-5)</t>
        </is>
      </c>
      <c r="V1" s="8" t="inlineStr">
        <is>
          <t>ציון סופי (0-100)</t>
        </is>
      </c>
      <c r="W1" s="8" t="inlineStr">
        <is>
          <t>שובר שוויון</t>
        </is>
      </c>
      <c r="X1" s="8" t="inlineStr">
        <is>
          <t>מקום</t>
        </is>
      </c>
    </row>
    <row r="2">
      <c r="A2" s="10" t="n">
        <v>1</v>
      </c>
      <c r="B2" s="9">
        <f>'דירוגי נושאים'!B2</f>
        <v/>
      </c>
      <c r="C2" s="11">
        <f>SUMPRODUCT('דירוגי נושאים'!D2:H2,פרמטרים!$B$23:$F$23)/SUM(פרמטרים!$B$23:$F$23)</f>
        <v/>
      </c>
      <c r="D2" s="11">
        <f>SUMPRODUCT('דירוגי נושאים'!I2:M2,פרמטרים!$B$23:$F$23)/SUM(פרמטרים!$B$23:$F$23)</f>
        <v/>
      </c>
      <c r="E2" s="11">
        <f>SUMPRODUCT('דירוגי נושאים'!N2:R2,פרמטרים!$B$23:$F$23)/SUM(פרמטרים!$B$23:$F$23)</f>
        <v/>
      </c>
      <c r="F2" s="11">
        <f>SUMPRODUCT('דירוגי נושאים'!S2:W2,פרמטרים!$B$23:$F$23)/SUM(פרמטרים!$B$23:$F$23)</f>
        <v/>
      </c>
      <c r="G2" s="11">
        <f>SUMPRODUCT('דירוגי נושאים'!X2:AB2,פרמטרים!$B$23:$F$23)/SUM(פרמטרים!$B$23:$F$23)</f>
        <v/>
      </c>
      <c r="H2" s="11">
        <f>SUMPRODUCT('דירוגי נושאים'!AC2:AG2,פרמטרים!$B$23:$F$23)/SUM(פרמטרים!$B$23:$F$23)</f>
        <v/>
      </c>
      <c r="I2" s="11">
        <f>SUMPRODUCT('דירוגי נושאים'!AH2:AL2,פרמטרים!$B$23:$F$23)/SUM(פרמטרים!$B$23:$F$23)</f>
        <v/>
      </c>
      <c r="J2" s="11">
        <f>SUMPRODUCT('דירוגי נושאים'!AM2:AQ2,פרמטרים!$B$23:$F$23)/SUM(פרמטרים!$B$23:$F$23)</f>
        <v/>
      </c>
      <c r="K2" s="11">
        <f>SUMPRODUCT('דירוגי נושאים'!AR2:AV2,פרמטרים!$B$23:$F$23)/SUM(פרמטרים!$B$23:$F$23)</f>
        <v/>
      </c>
      <c r="L2" s="11">
        <f>SUMPRODUCT('דירוגי נושאים'!AW2:BA2,פרמטרים!$B$23:$F$23)/SUM(פרמטרים!$B$23:$F$23)</f>
        <v/>
      </c>
      <c r="M2" s="11">
        <f>(C2*פרמטרים!$B$4+D2*פרמטרים!$B$5+E2*פרמטרים!$B$6+F2*פרמטרים!$B$7+G2*פרמטרים!$B$8+H2*פרמטרים!$B$9+I2*פרמטרים!$B$10+J2*פרמטרים!$B$11+K2*פרמטרים!$B$12+L2*פרמטרים!$B$13)/SUM(פרמטרים!$B$4:$B$13)</f>
        <v/>
      </c>
      <c r="N2" s="11">
        <f>SUMPRODUCT('דירוגי תכונות'!C2:F2,פרמטרים!$B$26:$E$26)/SUM(פרמטרים!$B$26:$E$26)</f>
        <v/>
      </c>
      <c r="O2" s="11">
        <f>SUMPRODUCT('דירוגי תכונות'!G2:J2,פרמטרים!$B$26:$E$26)/SUM(פרמטרים!$B$26:$E$26)</f>
        <v/>
      </c>
      <c r="P2" s="11">
        <f>SUMPRODUCT('דירוגי תכונות'!K2:N2,פרמטרים!$B$26:$E$26)/SUM(פרמטרים!$B$26:$E$26)</f>
        <v/>
      </c>
      <c r="Q2" s="11">
        <f>SUMPRODUCT('דירוגי תכונות'!O2:R2,פרמטרים!$B$26:$E$26)/SUM(פרמטרים!$B$26:$E$26)</f>
        <v/>
      </c>
      <c r="R2" s="11">
        <f>SUMPRODUCT('דירוגי תכונות'!S2:V2,פרמטרים!$B$26:$E$26)/SUM(פרמטרים!$B$26:$E$26)</f>
        <v/>
      </c>
      <c r="S2" s="11">
        <f>(N2*פרמטרים!$B$16+O2*פרמטרים!$B$17+P2*פרמטרים!$B$18+Q2*פרמטרים!$B$19+R2*פרמטרים!$B$20)/SUM(פרמטרים!$B$16:$B$20)</f>
        <v/>
      </c>
      <c r="T2" s="11">
        <f>'דירוגי נושאים'!C2</f>
        <v/>
      </c>
      <c r="U2" s="11">
        <f>(פרמטרים!$B$28*M2+(1-פרמטרים!$B$28)*S2)*(1-פרמטרים!$B$29*(5-T2)/4)</f>
        <v/>
      </c>
      <c r="V2" s="12">
        <f>(U2-1)/4*100</f>
        <v/>
      </c>
      <c r="W2" s="11">
        <f>U2+ROW()/10000000</f>
        <v/>
      </c>
      <c r="X2" s="10">
        <f>RANK(W2,$W$2:$W$52)</f>
        <v/>
      </c>
    </row>
    <row r="3">
      <c r="A3" s="10" t="n">
        <v>2</v>
      </c>
      <c r="B3" s="9">
        <f>'דירוגי נושאים'!B3</f>
        <v/>
      </c>
      <c r="C3" s="11">
        <f>SUMPRODUCT('דירוגי נושאים'!D3:H3,פרמטרים!$B$23:$F$23)/SUM(פרמטרים!$B$23:$F$23)</f>
        <v/>
      </c>
      <c r="D3" s="11">
        <f>SUMPRODUCT('דירוגי נושאים'!I3:M3,פרמטרים!$B$23:$F$23)/SUM(פרמטרים!$B$23:$F$23)</f>
        <v/>
      </c>
      <c r="E3" s="11">
        <f>SUMPRODUCT('דירוגי נושאים'!N3:R3,פרמטרים!$B$23:$F$23)/SUM(פרמטרים!$B$23:$F$23)</f>
        <v/>
      </c>
      <c r="F3" s="11">
        <f>SUMPRODUCT('דירוגי נושאים'!S3:W3,פרמטרים!$B$23:$F$23)/SUM(פרמטרים!$B$23:$F$23)</f>
        <v/>
      </c>
      <c r="G3" s="11">
        <f>SUMPRODUCT('דירוגי נושאים'!X3:AB3,פרמטרים!$B$23:$F$23)/SUM(פרמטרים!$B$23:$F$23)</f>
        <v/>
      </c>
      <c r="H3" s="11">
        <f>SUMPRODUCT('דירוגי נושאים'!AC3:AG3,פרמטרים!$B$23:$F$23)/SUM(פרמטרים!$B$23:$F$23)</f>
        <v/>
      </c>
      <c r="I3" s="11">
        <f>SUMPRODUCT('דירוגי נושאים'!AH3:AL3,פרמטרים!$B$23:$F$23)/SUM(פרמטרים!$B$23:$F$23)</f>
        <v/>
      </c>
      <c r="J3" s="11">
        <f>SUMPRODUCT('דירוגי נושאים'!AM3:AQ3,פרמטרים!$B$23:$F$23)/SUM(פרמטרים!$B$23:$F$23)</f>
        <v/>
      </c>
      <c r="K3" s="11">
        <f>SUMPRODUCT('דירוגי נושאים'!AR3:AV3,פרמטרים!$B$23:$F$23)/SUM(פרמטרים!$B$23:$F$23)</f>
        <v/>
      </c>
      <c r="L3" s="11">
        <f>SUMPRODUCT('דירוגי נושאים'!AW3:BA3,פרמטרים!$B$23:$F$23)/SUM(פרמטרים!$B$23:$F$23)</f>
        <v/>
      </c>
      <c r="M3" s="11">
        <f>(C3*פרמטרים!$B$4+D3*פרמטרים!$B$5+E3*פרמטרים!$B$6+F3*פרמטרים!$B$7+G3*פרמטרים!$B$8+H3*פרמטרים!$B$9+I3*פרמטרים!$B$10+J3*פרמטרים!$B$11+K3*פרמטרים!$B$12+L3*פרמטרים!$B$13)/SUM(פרמטרים!$B$4:$B$13)</f>
        <v/>
      </c>
      <c r="N3" s="11">
        <f>SUMPRODUCT('דירוגי תכונות'!C3:F3,פרמטרים!$B$26:$E$26)/SUM(פרמטרים!$B$26:$E$26)</f>
        <v/>
      </c>
      <c r="O3" s="11">
        <f>SUMPRODUCT('דירוגי תכונות'!G3:J3,פרמטרים!$B$26:$E$26)/SUM(פרמטרים!$B$26:$E$26)</f>
        <v/>
      </c>
      <c r="P3" s="11">
        <f>SUMPRODUCT('דירוגי תכונות'!K3:N3,פרמטרים!$B$26:$E$26)/SUM(פרמטרים!$B$26:$E$26)</f>
        <v/>
      </c>
      <c r="Q3" s="11">
        <f>SUMPRODUCT('דירוגי תכונות'!O3:R3,פרמטרים!$B$26:$E$26)/SUM(פרמטרים!$B$26:$E$26)</f>
        <v/>
      </c>
      <c r="R3" s="11">
        <f>SUMPRODUCT('דירוגי תכונות'!S3:V3,פרמטרים!$B$26:$E$26)/SUM(פרמטרים!$B$26:$E$26)</f>
        <v/>
      </c>
      <c r="S3" s="11">
        <f>(N3*פרמטרים!$B$16+O3*פרמטרים!$B$17+P3*פרמטרים!$B$18+Q3*פרמטרים!$B$19+R3*פרמטרים!$B$20)/SUM(פרמטרים!$B$16:$B$20)</f>
        <v/>
      </c>
      <c r="T3" s="11">
        <f>'דירוגי נושאים'!C3</f>
        <v/>
      </c>
      <c r="U3" s="11">
        <f>(פרמטרים!$B$28*M3+(1-פרמטרים!$B$28)*S3)*(1-פרמטרים!$B$29*(5-T3)/4)</f>
        <v/>
      </c>
      <c r="V3" s="12">
        <f>(U3-1)/4*100</f>
        <v/>
      </c>
      <c r="W3" s="11">
        <f>U3+ROW()/10000000</f>
        <v/>
      </c>
      <c r="X3" s="10">
        <f>RANK(W3,$W$2:$W$52)</f>
        <v/>
      </c>
    </row>
    <row r="4">
      <c r="A4" s="10" t="n">
        <v>3</v>
      </c>
      <c r="B4" s="9">
        <f>'דירוגי נושאים'!B4</f>
        <v/>
      </c>
      <c r="C4" s="11">
        <f>SUMPRODUCT('דירוגי נושאים'!D4:H4,פרמטרים!$B$23:$F$23)/SUM(פרמטרים!$B$23:$F$23)</f>
        <v/>
      </c>
      <c r="D4" s="11">
        <f>SUMPRODUCT('דירוגי נושאים'!I4:M4,פרמטרים!$B$23:$F$23)/SUM(פרמטרים!$B$23:$F$23)</f>
        <v/>
      </c>
      <c r="E4" s="11">
        <f>SUMPRODUCT('דירוגי נושאים'!N4:R4,פרמטרים!$B$23:$F$23)/SUM(פרמטרים!$B$23:$F$23)</f>
        <v/>
      </c>
      <c r="F4" s="11">
        <f>SUMPRODUCT('דירוגי נושאים'!S4:W4,פרמטרים!$B$23:$F$23)/SUM(פרמטרים!$B$23:$F$23)</f>
        <v/>
      </c>
      <c r="G4" s="11">
        <f>SUMPRODUCT('דירוגי נושאים'!X4:AB4,פרמטרים!$B$23:$F$23)/SUM(פרמטרים!$B$23:$F$23)</f>
        <v/>
      </c>
      <c r="H4" s="11">
        <f>SUMPRODUCT('דירוגי נושאים'!AC4:AG4,פרמטרים!$B$23:$F$23)/SUM(פרמטרים!$B$23:$F$23)</f>
        <v/>
      </c>
      <c r="I4" s="11">
        <f>SUMPRODUCT('דירוגי נושאים'!AH4:AL4,פרמטרים!$B$23:$F$23)/SUM(פרמטרים!$B$23:$F$23)</f>
        <v/>
      </c>
      <c r="J4" s="11">
        <f>SUMPRODUCT('דירוגי נושאים'!AM4:AQ4,פרמטרים!$B$23:$F$23)/SUM(פרמטרים!$B$23:$F$23)</f>
        <v/>
      </c>
      <c r="K4" s="11">
        <f>SUMPRODUCT('דירוגי נושאים'!AR4:AV4,פרמטרים!$B$23:$F$23)/SUM(פרמטרים!$B$23:$F$23)</f>
        <v/>
      </c>
      <c r="L4" s="11">
        <f>SUMPRODUCT('דירוגי נושאים'!AW4:BA4,פרמטרים!$B$23:$F$23)/SUM(פרמטרים!$B$23:$F$23)</f>
        <v/>
      </c>
      <c r="M4" s="11">
        <f>(C4*פרמטרים!$B$4+D4*פרמטרים!$B$5+E4*פרמטרים!$B$6+F4*פרמטרים!$B$7+G4*פרמטרים!$B$8+H4*פרמטרים!$B$9+I4*פרמטרים!$B$10+J4*פרמטרים!$B$11+K4*פרמטרים!$B$12+L4*פרמטרים!$B$13)/SUM(פרמטרים!$B$4:$B$13)</f>
        <v/>
      </c>
      <c r="N4" s="11">
        <f>SUMPRODUCT('דירוגי תכונות'!C4:F4,פרמטרים!$B$26:$E$26)/SUM(פרמטרים!$B$26:$E$26)</f>
        <v/>
      </c>
      <c r="O4" s="11">
        <f>SUMPRODUCT('דירוגי תכונות'!G4:J4,פרמטרים!$B$26:$E$26)/SUM(פרמטרים!$B$26:$E$26)</f>
        <v/>
      </c>
      <c r="P4" s="11">
        <f>SUMPRODUCT('דירוגי תכונות'!K4:N4,פרמטרים!$B$26:$E$26)/SUM(פרמטרים!$B$26:$E$26)</f>
        <v/>
      </c>
      <c r="Q4" s="11">
        <f>SUMPRODUCT('דירוגי תכונות'!O4:R4,פרמטרים!$B$26:$E$26)/SUM(פרמטרים!$B$26:$E$26)</f>
        <v/>
      </c>
      <c r="R4" s="11">
        <f>SUMPRODUCT('דירוגי תכונות'!S4:V4,פרמטרים!$B$26:$E$26)/SUM(פרמטרים!$B$26:$E$26)</f>
        <v/>
      </c>
      <c r="S4" s="11">
        <f>(N4*פרמטרים!$B$16+O4*פרמטרים!$B$17+P4*פרמטרים!$B$18+Q4*פרמטרים!$B$19+R4*פרמטרים!$B$20)/SUM(פרמטרים!$B$16:$B$20)</f>
        <v/>
      </c>
      <c r="T4" s="11">
        <f>'דירוגי נושאים'!C4</f>
        <v/>
      </c>
      <c r="U4" s="11">
        <f>(פרמטרים!$B$28*M4+(1-פרמטרים!$B$28)*S4)*(1-פרמטרים!$B$29*(5-T4)/4)</f>
        <v/>
      </c>
      <c r="V4" s="12">
        <f>(U4-1)/4*100</f>
        <v/>
      </c>
      <c r="W4" s="11">
        <f>U4+ROW()/10000000</f>
        <v/>
      </c>
      <c r="X4" s="10">
        <f>RANK(W4,$W$2:$W$52)</f>
        <v/>
      </c>
    </row>
    <row r="5">
      <c r="A5" s="10" t="n">
        <v>4</v>
      </c>
      <c r="B5" s="9">
        <f>'דירוגי נושאים'!B5</f>
        <v/>
      </c>
      <c r="C5" s="11">
        <f>SUMPRODUCT('דירוגי נושאים'!D5:H5,פרמטרים!$B$23:$F$23)/SUM(פרמטרים!$B$23:$F$23)</f>
        <v/>
      </c>
      <c r="D5" s="11">
        <f>SUMPRODUCT('דירוגי נושאים'!I5:M5,פרמטרים!$B$23:$F$23)/SUM(פרמטרים!$B$23:$F$23)</f>
        <v/>
      </c>
      <c r="E5" s="11">
        <f>SUMPRODUCT('דירוגי נושאים'!N5:R5,פרמטרים!$B$23:$F$23)/SUM(פרמטרים!$B$23:$F$23)</f>
        <v/>
      </c>
      <c r="F5" s="11">
        <f>SUMPRODUCT('דירוגי נושאים'!S5:W5,פרמטרים!$B$23:$F$23)/SUM(פרמטרים!$B$23:$F$23)</f>
        <v/>
      </c>
      <c r="G5" s="11">
        <f>SUMPRODUCT('דירוגי נושאים'!X5:AB5,פרמטרים!$B$23:$F$23)/SUM(פרמטרים!$B$23:$F$23)</f>
        <v/>
      </c>
      <c r="H5" s="11">
        <f>SUMPRODUCT('דירוגי נושאים'!AC5:AG5,פרמטרים!$B$23:$F$23)/SUM(פרמטרים!$B$23:$F$23)</f>
        <v/>
      </c>
      <c r="I5" s="11">
        <f>SUMPRODUCT('דירוגי נושאים'!AH5:AL5,פרמטרים!$B$23:$F$23)/SUM(פרמטרים!$B$23:$F$23)</f>
        <v/>
      </c>
      <c r="J5" s="11">
        <f>SUMPRODUCT('דירוגי נושאים'!AM5:AQ5,פרמטרים!$B$23:$F$23)/SUM(פרמטרים!$B$23:$F$23)</f>
        <v/>
      </c>
      <c r="K5" s="11">
        <f>SUMPRODUCT('דירוגי נושאים'!AR5:AV5,פרמטרים!$B$23:$F$23)/SUM(פרמטרים!$B$23:$F$23)</f>
        <v/>
      </c>
      <c r="L5" s="11">
        <f>SUMPRODUCT('דירוגי נושאים'!AW5:BA5,פרמטרים!$B$23:$F$23)/SUM(פרמטרים!$B$23:$F$23)</f>
        <v/>
      </c>
      <c r="M5" s="11">
        <f>(C5*פרמטרים!$B$4+D5*פרמטרים!$B$5+E5*פרמטרים!$B$6+F5*פרמטרים!$B$7+G5*פרמטרים!$B$8+H5*פרמטרים!$B$9+I5*פרמטרים!$B$10+J5*פרמטרים!$B$11+K5*פרמטרים!$B$12+L5*פרמטרים!$B$13)/SUM(פרמטרים!$B$4:$B$13)</f>
        <v/>
      </c>
      <c r="N5" s="11">
        <f>SUMPRODUCT('דירוגי תכונות'!C5:F5,פרמטרים!$B$26:$E$26)/SUM(פרמטרים!$B$26:$E$26)</f>
        <v/>
      </c>
      <c r="O5" s="11">
        <f>SUMPRODUCT('דירוגי תכונות'!G5:J5,פרמטרים!$B$26:$E$26)/SUM(פרמטרים!$B$26:$E$26)</f>
        <v/>
      </c>
      <c r="P5" s="11">
        <f>SUMPRODUCT('דירוגי תכונות'!K5:N5,פרמטרים!$B$26:$E$26)/SUM(פרמטרים!$B$26:$E$26)</f>
        <v/>
      </c>
      <c r="Q5" s="11">
        <f>SUMPRODUCT('דירוגי תכונות'!O5:R5,פרמטרים!$B$26:$E$26)/SUM(פרמטרים!$B$26:$E$26)</f>
        <v/>
      </c>
      <c r="R5" s="11">
        <f>SUMPRODUCT('דירוגי תכונות'!S5:V5,פרמטרים!$B$26:$E$26)/SUM(פרמטרים!$B$26:$E$26)</f>
        <v/>
      </c>
      <c r="S5" s="11">
        <f>(N5*פרמטרים!$B$16+O5*פרמטרים!$B$17+P5*פרמטרים!$B$18+Q5*פרמטרים!$B$19+R5*פרמטרים!$B$20)/SUM(פרמטרים!$B$16:$B$20)</f>
        <v/>
      </c>
      <c r="T5" s="11">
        <f>'דירוגי נושאים'!C5</f>
        <v/>
      </c>
      <c r="U5" s="11">
        <f>(פרמטרים!$B$28*M5+(1-פרמטרים!$B$28)*S5)*(1-פרמטרים!$B$29*(5-T5)/4)</f>
        <v/>
      </c>
      <c r="V5" s="12">
        <f>(U5-1)/4*100</f>
        <v/>
      </c>
      <c r="W5" s="11">
        <f>U5+ROW()/10000000</f>
        <v/>
      </c>
      <c r="X5" s="10">
        <f>RANK(W5,$W$2:$W$52)</f>
        <v/>
      </c>
    </row>
    <row r="6">
      <c r="A6" s="10" t="n">
        <v>5</v>
      </c>
      <c r="B6" s="9">
        <f>'דירוגי נושאים'!B6</f>
        <v/>
      </c>
      <c r="C6" s="11">
        <f>SUMPRODUCT('דירוגי נושאים'!D6:H6,פרמטרים!$B$23:$F$23)/SUM(פרמטרים!$B$23:$F$23)</f>
        <v/>
      </c>
      <c r="D6" s="11">
        <f>SUMPRODUCT('דירוגי נושאים'!I6:M6,פרמטרים!$B$23:$F$23)/SUM(פרמטרים!$B$23:$F$23)</f>
        <v/>
      </c>
      <c r="E6" s="11">
        <f>SUMPRODUCT('דירוגי נושאים'!N6:R6,פרמטרים!$B$23:$F$23)/SUM(פרמטרים!$B$23:$F$23)</f>
        <v/>
      </c>
      <c r="F6" s="11">
        <f>SUMPRODUCT('דירוגי נושאים'!S6:W6,פרמטרים!$B$23:$F$23)/SUM(פרמטרים!$B$23:$F$23)</f>
        <v/>
      </c>
      <c r="G6" s="11">
        <f>SUMPRODUCT('דירוגי נושאים'!X6:AB6,פרמטרים!$B$23:$F$23)/SUM(פרמטרים!$B$23:$F$23)</f>
        <v/>
      </c>
      <c r="H6" s="11">
        <f>SUMPRODUCT('דירוגי נושאים'!AC6:AG6,פרמטרים!$B$23:$F$23)/SUM(פרמטרים!$B$23:$F$23)</f>
        <v/>
      </c>
      <c r="I6" s="11">
        <f>SUMPRODUCT('דירוגי נושאים'!AH6:AL6,פרמטרים!$B$23:$F$23)/SUM(פרמטרים!$B$23:$F$23)</f>
        <v/>
      </c>
      <c r="J6" s="11">
        <f>SUMPRODUCT('דירוגי נושאים'!AM6:AQ6,פרמטרים!$B$23:$F$23)/SUM(פרמטרים!$B$23:$F$23)</f>
        <v/>
      </c>
      <c r="K6" s="11">
        <f>SUMPRODUCT('דירוגי נושאים'!AR6:AV6,פרמטרים!$B$23:$F$23)/SUM(פרמטרים!$B$23:$F$23)</f>
        <v/>
      </c>
      <c r="L6" s="11">
        <f>SUMPRODUCT('דירוגי נושאים'!AW6:BA6,פרמטרים!$B$23:$F$23)/SUM(פרמטרים!$B$23:$F$23)</f>
        <v/>
      </c>
      <c r="M6" s="11">
        <f>(C6*פרמטרים!$B$4+D6*פרמטרים!$B$5+E6*פרמטרים!$B$6+F6*פרמטרים!$B$7+G6*פרמטרים!$B$8+H6*פרמטרים!$B$9+I6*פרמטרים!$B$10+J6*פרמטרים!$B$11+K6*פרמטרים!$B$12+L6*פרמטרים!$B$13)/SUM(פרמטרים!$B$4:$B$13)</f>
        <v/>
      </c>
      <c r="N6" s="11">
        <f>SUMPRODUCT('דירוגי תכונות'!C6:F6,פרמטרים!$B$26:$E$26)/SUM(פרמטרים!$B$26:$E$26)</f>
        <v/>
      </c>
      <c r="O6" s="11">
        <f>SUMPRODUCT('דירוגי תכונות'!G6:J6,פרמטרים!$B$26:$E$26)/SUM(פרמטרים!$B$26:$E$26)</f>
        <v/>
      </c>
      <c r="P6" s="11">
        <f>SUMPRODUCT('דירוגי תכונות'!K6:N6,פרמטרים!$B$26:$E$26)/SUM(פרמטרים!$B$26:$E$26)</f>
        <v/>
      </c>
      <c r="Q6" s="11">
        <f>SUMPRODUCT('דירוגי תכונות'!O6:R6,פרמטרים!$B$26:$E$26)/SUM(פרמטרים!$B$26:$E$26)</f>
        <v/>
      </c>
      <c r="R6" s="11">
        <f>SUMPRODUCT('דירוגי תכונות'!S6:V6,פרמטרים!$B$26:$E$26)/SUM(פרמטרים!$B$26:$E$26)</f>
        <v/>
      </c>
      <c r="S6" s="11">
        <f>(N6*פרמטרים!$B$16+O6*פרמטרים!$B$17+P6*פרמטרים!$B$18+Q6*פרמטרים!$B$19+R6*פרמטרים!$B$20)/SUM(פרמטרים!$B$16:$B$20)</f>
        <v/>
      </c>
      <c r="T6" s="11">
        <f>'דירוגי נושאים'!C6</f>
        <v/>
      </c>
      <c r="U6" s="11">
        <f>(פרמטרים!$B$28*M6+(1-פרמטרים!$B$28)*S6)*(1-פרמטרים!$B$29*(5-T6)/4)</f>
        <v/>
      </c>
      <c r="V6" s="12">
        <f>(U6-1)/4*100</f>
        <v/>
      </c>
      <c r="W6" s="11">
        <f>U6+ROW()/10000000</f>
        <v/>
      </c>
      <c r="X6" s="10">
        <f>RANK(W6,$W$2:$W$52)</f>
        <v/>
      </c>
    </row>
    <row r="7">
      <c r="A7" s="10" t="n">
        <v>6</v>
      </c>
      <c r="B7" s="9">
        <f>'דירוגי נושאים'!B7</f>
        <v/>
      </c>
      <c r="C7" s="11">
        <f>SUMPRODUCT('דירוגי נושאים'!D7:H7,פרמטרים!$B$23:$F$23)/SUM(פרמטרים!$B$23:$F$23)</f>
        <v/>
      </c>
      <c r="D7" s="11">
        <f>SUMPRODUCT('דירוגי נושאים'!I7:M7,פרמטרים!$B$23:$F$23)/SUM(פרמטרים!$B$23:$F$23)</f>
        <v/>
      </c>
      <c r="E7" s="11">
        <f>SUMPRODUCT('דירוגי נושאים'!N7:R7,פרמטרים!$B$23:$F$23)/SUM(פרמטרים!$B$23:$F$23)</f>
        <v/>
      </c>
      <c r="F7" s="11">
        <f>SUMPRODUCT('דירוגי נושאים'!S7:W7,פרמטרים!$B$23:$F$23)/SUM(פרמטרים!$B$23:$F$23)</f>
        <v/>
      </c>
      <c r="G7" s="11">
        <f>SUMPRODUCT('דירוגי נושאים'!X7:AB7,פרמטרים!$B$23:$F$23)/SUM(פרמטרים!$B$23:$F$23)</f>
        <v/>
      </c>
      <c r="H7" s="11">
        <f>SUMPRODUCT('דירוגי נושאים'!AC7:AG7,פרמטרים!$B$23:$F$23)/SUM(פרמטרים!$B$23:$F$23)</f>
        <v/>
      </c>
      <c r="I7" s="11">
        <f>SUMPRODUCT('דירוגי נושאים'!AH7:AL7,פרמטרים!$B$23:$F$23)/SUM(פרמטרים!$B$23:$F$23)</f>
        <v/>
      </c>
      <c r="J7" s="11">
        <f>SUMPRODUCT('דירוגי נושאים'!AM7:AQ7,פרמטרים!$B$23:$F$23)/SUM(פרמטרים!$B$23:$F$23)</f>
        <v/>
      </c>
      <c r="K7" s="11">
        <f>SUMPRODUCT('דירוגי נושאים'!AR7:AV7,פרמטרים!$B$23:$F$23)/SUM(פרמטרים!$B$23:$F$23)</f>
        <v/>
      </c>
      <c r="L7" s="11">
        <f>SUMPRODUCT('דירוגי נושאים'!AW7:BA7,פרמטרים!$B$23:$F$23)/SUM(פרמטרים!$B$23:$F$23)</f>
        <v/>
      </c>
      <c r="M7" s="11">
        <f>(C7*פרמטרים!$B$4+D7*פרמטרים!$B$5+E7*פרמטרים!$B$6+F7*פרמטרים!$B$7+G7*פרמטרים!$B$8+H7*פרמטרים!$B$9+I7*פרמטרים!$B$10+J7*פרמטרים!$B$11+K7*פרמטרים!$B$12+L7*פרמטרים!$B$13)/SUM(פרמטרים!$B$4:$B$13)</f>
        <v/>
      </c>
      <c r="N7" s="11">
        <f>SUMPRODUCT('דירוגי תכונות'!C7:F7,פרמטרים!$B$26:$E$26)/SUM(פרמטרים!$B$26:$E$26)</f>
        <v/>
      </c>
      <c r="O7" s="11">
        <f>SUMPRODUCT('דירוגי תכונות'!G7:J7,פרמטרים!$B$26:$E$26)/SUM(פרמטרים!$B$26:$E$26)</f>
        <v/>
      </c>
      <c r="P7" s="11">
        <f>SUMPRODUCT('דירוגי תכונות'!K7:N7,פרמטרים!$B$26:$E$26)/SUM(פרמטרים!$B$26:$E$26)</f>
        <v/>
      </c>
      <c r="Q7" s="11">
        <f>SUMPRODUCT('דירוגי תכונות'!O7:R7,פרמטרים!$B$26:$E$26)/SUM(פרמטרים!$B$26:$E$26)</f>
        <v/>
      </c>
      <c r="R7" s="11">
        <f>SUMPRODUCT('דירוגי תכונות'!S7:V7,פרמטרים!$B$26:$E$26)/SUM(פרמטרים!$B$26:$E$26)</f>
        <v/>
      </c>
      <c r="S7" s="11">
        <f>(N7*פרמטרים!$B$16+O7*פרמטרים!$B$17+P7*פרמטרים!$B$18+Q7*פרמטרים!$B$19+R7*פרמטרים!$B$20)/SUM(פרמטרים!$B$16:$B$20)</f>
        <v/>
      </c>
      <c r="T7" s="11">
        <f>'דירוגי נושאים'!C7</f>
        <v/>
      </c>
      <c r="U7" s="11">
        <f>(פרמטרים!$B$28*M7+(1-פרמטרים!$B$28)*S7)*(1-פרמטרים!$B$29*(5-T7)/4)</f>
        <v/>
      </c>
      <c r="V7" s="12">
        <f>(U7-1)/4*100</f>
        <v/>
      </c>
      <c r="W7" s="11">
        <f>U7+ROW()/10000000</f>
        <v/>
      </c>
      <c r="X7" s="10">
        <f>RANK(W7,$W$2:$W$52)</f>
        <v/>
      </c>
    </row>
    <row r="8">
      <c r="A8" s="10" t="n">
        <v>7</v>
      </c>
      <c r="B8" s="9">
        <f>'דירוגי נושאים'!B8</f>
        <v/>
      </c>
      <c r="C8" s="11">
        <f>SUMPRODUCT('דירוגי נושאים'!D8:H8,פרמטרים!$B$23:$F$23)/SUM(פרמטרים!$B$23:$F$23)</f>
        <v/>
      </c>
      <c r="D8" s="11">
        <f>SUMPRODUCT('דירוגי נושאים'!I8:M8,פרמטרים!$B$23:$F$23)/SUM(פרמטרים!$B$23:$F$23)</f>
        <v/>
      </c>
      <c r="E8" s="11">
        <f>SUMPRODUCT('דירוגי נושאים'!N8:R8,פרמטרים!$B$23:$F$23)/SUM(פרמטרים!$B$23:$F$23)</f>
        <v/>
      </c>
      <c r="F8" s="11">
        <f>SUMPRODUCT('דירוגי נושאים'!S8:W8,פרמטרים!$B$23:$F$23)/SUM(פרמטרים!$B$23:$F$23)</f>
        <v/>
      </c>
      <c r="G8" s="11">
        <f>SUMPRODUCT('דירוגי נושאים'!X8:AB8,פרמטרים!$B$23:$F$23)/SUM(פרמטרים!$B$23:$F$23)</f>
        <v/>
      </c>
      <c r="H8" s="11">
        <f>SUMPRODUCT('דירוגי נושאים'!AC8:AG8,פרמטרים!$B$23:$F$23)/SUM(פרמטרים!$B$23:$F$23)</f>
        <v/>
      </c>
      <c r="I8" s="11">
        <f>SUMPRODUCT('דירוגי נושאים'!AH8:AL8,פרמטרים!$B$23:$F$23)/SUM(פרמטרים!$B$23:$F$23)</f>
        <v/>
      </c>
      <c r="J8" s="11">
        <f>SUMPRODUCT('דירוגי נושאים'!AM8:AQ8,פרמטרים!$B$23:$F$23)/SUM(פרמטרים!$B$23:$F$23)</f>
        <v/>
      </c>
      <c r="K8" s="11">
        <f>SUMPRODUCT('דירוגי נושאים'!AR8:AV8,פרמטרים!$B$23:$F$23)/SUM(פרמטרים!$B$23:$F$23)</f>
        <v/>
      </c>
      <c r="L8" s="11">
        <f>SUMPRODUCT('דירוגי נושאים'!AW8:BA8,פרמטרים!$B$23:$F$23)/SUM(פרמטרים!$B$23:$F$23)</f>
        <v/>
      </c>
      <c r="M8" s="11">
        <f>(C8*פרמטרים!$B$4+D8*פרמטרים!$B$5+E8*פרמטרים!$B$6+F8*פרמטרים!$B$7+G8*פרמטרים!$B$8+H8*פרמטרים!$B$9+I8*פרמטרים!$B$10+J8*פרמטרים!$B$11+K8*פרמטרים!$B$12+L8*פרמטרים!$B$13)/SUM(פרמטרים!$B$4:$B$13)</f>
        <v/>
      </c>
      <c r="N8" s="11">
        <f>SUMPRODUCT('דירוגי תכונות'!C8:F8,פרמטרים!$B$26:$E$26)/SUM(פרמטרים!$B$26:$E$26)</f>
        <v/>
      </c>
      <c r="O8" s="11">
        <f>SUMPRODUCT('דירוגי תכונות'!G8:J8,פרמטרים!$B$26:$E$26)/SUM(פרמטרים!$B$26:$E$26)</f>
        <v/>
      </c>
      <c r="P8" s="11">
        <f>SUMPRODUCT('דירוגי תכונות'!K8:N8,פרמטרים!$B$26:$E$26)/SUM(פרמטרים!$B$26:$E$26)</f>
        <v/>
      </c>
      <c r="Q8" s="11">
        <f>SUMPRODUCT('דירוגי תכונות'!O8:R8,פרמטרים!$B$26:$E$26)/SUM(פרמטרים!$B$26:$E$26)</f>
        <v/>
      </c>
      <c r="R8" s="11">
        <f>SUMPRODUCT('דירוגי תכונות'!S8:V8,פרמטרים!$B$26:$E$26)/SUM(פרמטרים!$B$26:$E$26)</f>
        <v/>
      </c>
      <c r="S8" s="11">
        <f>(N8*פרמטרים!$B$16+O8*פרמטרים!$B$17+P8*פרמטרים!$B$18+Q8*פרמטרים!$B$19+R8*פרמטרים!$B$20)/SUM(פרמטרים!$B$16:$B$20)</f>
        <v/>
      </c>
      <c r="T8" s="11">
        <f>'דירוגי נושאים'!C8</f>
        <v/>
      </c>
      <c r="U8" s="11">
        <f>(פרמטרים!$B$28*M8+(1-פרמטרים!$B$28)*S8)*(1-פרמטרים!$B$29*(5-T8)/4)</f>
        <v/>
      </c>
      <c r="V8" s="12">
        <f>(U8-1)/4*100</f>
        <v/>
      </c>
      <c r="W8" s="11">
        <f>U8+ROW()/10000000</f>
        <v/>
      </c>
      <c r="X8" s="10">
        <f>RANK(W8,$W$2:$W$52)</f>
        <v/>
      </c>
    </row>
    <row r="9">
      <c r="A9" s="10" t="n">
        <v>8</v>
      </c>
      <c r="B9" s="9">
        <f>'דירוגי נושאים'!B9</f>
        <v/>
      </c>
      <c r="C9" s="11">
        <f>SUMPRODUCT('דירוגי נושאים'!D9:H9,פרמטרים!$B$23:$F$23)/SUM(פרמטרים!$B$23:$F$23)</f>
        <v/>
      </c>
      <c r="D9" s="11">
        <f>SUMPRODUCT('דירוגי נושאים'!I9:M9,פרמטרים!$B$23:$F$23)/SUM(פרמטרים!$B$23:$F$23)</f>
        <v/>
      </c>
      <c r="E9" s="11">
        <f>SUMPRODUCT('דירוגי נושאים'!N9:R9,פרמטרים!$B$23:$F$23)/SUM(פרמטרים!$B$23:$F$23)</f>
        <v/>
      </c>
      <c r="F9" s="11">
        <f>SUMPRODUCT('דירוגי נושאים'!S9:W9,פרמטרים!$B$23:$F$23)/SUM(פרמטרים!$B$23:$F$23)</f>
        <v/>
      </c>
      <c r="G9" s="11">
        <f>SUMPRODUCT('דירוגי נושאים'!X9:AB9,פרמטרים!$B$23:$F$23)/SUM(פרמטרים!$B$23:$F$23)</f>
        <v/>
      </c>
      <c r="H9" s="11">
        <f>SUMPRODUCT('דירוגי נושאים'!AC9:AG9,פרמטרים!$B$23:$F$23)/SUM(פרמטרים!$B$23:$F$23)</f>
        <v/>
      </c>
      <c r="I9" s="11">
        <f>SUMPRODUCT('דירוגי נושאים'!AH9:AL9,פרמטרים!$B$23:$F$23)/SUM(פרמטרים!$B$23:$F$23)</f>
        <v/>
      </c>
      <c r="J9" s="11">
        <f>SUMPRODUCT('דירוגי נושאים'!AM9:AQ9,פרמטרים!$B$23:$F$23)/SUM(פרמטרים!$B$23:$F$23)</f>
        <v/>
      </c>
      <c r="K9" s="11">
        <f>SUMPRODUCT('דירוגי נושאים'!AR9:AV9,פרמטרים!$B$23:$F$23)/SUM(פרמטרים!$B$23:$F$23)</f>
        <v/>
      </c>
      <c r="L9" s="11">
        <f>SUMPRODUCT('דירוגי נושאים'!AW9:BA9,פרמטרים!$B$23:$F$23)/SUM(פרמטרים!$B$23:$F$23)</f>
        <v/>
      </c>
      <c r="M9" s="11">
        <f>(C9*פרמטרים!$B$4+D9*פרמטרים!$B$5+E9*פרמטרים!$B$6+F9*פרמטרים!$B$7+G9*פרמטרים!$B$8+H9*פרמטרים!$B$9+I9*פרמטרים!$B$10+J9*פרמטרים!$B$11+K9*פרמטרים!$B$12+L9*פרמטרים!$B$13)/SUM(פרמטרים!$B$4:$B$13)</f>
        <v/>
      </c>
      <c r="N9" s="11">
        <f>SUMPRODUCT('דירוגי תכונות'!C9:F9,פרמטרים!$B$26:$E$26)/SUM(פרמטרים!$B$26:$E$26)</f>
        <v/>
      </c>
      <c r="O9" s="11">
        <f>SUMPRODUCT('דירוגי תכונות'!G9:J9,פרמטרים!$B$26:$E$26)/SUM(פרמטרים!$B$26:$E$26)</f>
        <v/>
      </c>
      <c r="P9" s="11">
        <f>SUMPRODUCT('דירוגי תכונות'!K9:N9,פרמטרים!$B$26:$E$26)/SUM(פרמטרים!$B$26:$E$26)</f>
        <v/>
      </c>
      <c r="Q9" s="11">
        <f>SUMPRODUCT('דירוגי תכונות'!O9:R9,פרמטרים!$B$26:$E$26)/SUM(פרמטרים!$B$26:$E$26)</f>
        <v/>
      </c>
      <c r="R9" s="11">
        <f>SUMPRODUCT('דירוגי תכונות'!S9:V9,פרמטרים!$B$26:$E$26)/SUM(פרמטרים!$B$26:$E$26)</f>
        <v/>
      </c>
      <c r="S9" s="11">
        <f>(N9*פרמטרים!$B$16+O9*פרמטרים!$B$17+P9*פרמטרים!$B$18+Q9*פרמטרים!$B$19+R9*פרמטרים!$B$20)/SUM(פרמטרים!$B$16:$B$20)</f>
        <v/>
      </c>
      <c r="T9" s="11">
        <f>'דירוגי נושאים'!C9</f>
        <v/>
      </c>
      <c r="U9" s="11">
        <f>(פרמטרים!$B$28*M9+(1-פרמטרים!$B$28)*S9)*(1-פרמטרים!$B$29*(5-T9)/4)</f>
        <v/>
      </c>
      <c r="V9" s="12">
        <f>(U9-1)/4*100</f>
        <v/>
      </c>
      <c r="W9" s="11">
        <f>U9+ROW()/10000000</f>
        <v/>
      </c>
      <c r="X9" s="10">
        <f>RANK(W9,$W$2:$W$52)</f>
        <v/>
      </c>
    </row>
    <row r="10">
      <c r="A10" s="10" t="n">
        <v>9</v>
      </c>
      <c r="B10" s="9">
        <f>'דירוגי נושאים'!B10</f>
        <v/>
      </c>
      <c r="C10" s="11">
        <f>SUMPRODUCT('דירוגי נושאים'!D10:H10,פרמטרים!$B$23:$F$23)/SUM(פרמטרים!$B$23:$F$23)</f>
        <v/>
      </c>
      <c r="D10" s="11">
        <f>SUMPRODUCT('דירוגי נושאים'!I10:M10,פרמטרים!$B$23:$F$23)/SUM(פרמטרים!$B$23:$F$23)</f>
        <v/>
      </c>
      <c r="E10" s="11">
        <f>SUMPRODUCT('דירוגי נושאים'!N10:R10,פרמטרים!$B$23:$F$23)/SUM(פרמטרים!$B$23:$F$23)</f>
        <v/>
      </c>
      <c r="F10" s="11">
        <f>SUMPRODUCT('דירוגי נושאים'!S10:W10,פרמטרים!$B$23:$F$23)/SUM(פרמטרים!$B$23:$F$23)</f>
        <v/>
      </c>
      <c r="G10" s="11">
        <f>SUMPRODUCT('דירוגי נושאים'!X10:AB10,פרמטרים!$B$23:$F$23)/SUM(פרמטרים!$B$23:$F$23)</f>
        <v/>
      </c>
      <c r="H10" s="11">
        <f>SUMPRODUCT('דירוגי נושאים'!AC10:AG10,פרמטרים!$B$23:$F$23)/SUM(פרמטרים!$B$23:$F$23)</f>
        <v/>
      </c>
      <c r="I10" s="11">
        <f>SUMPRODUCT('דירוגי נושאים'!AH10:AL10,פרמטרים!$B$23:$F$23)/SUM(פרמטרים!$B$23:$F$23)</f>
        <v/>
      </c>
      <c r="J10" s="11">
        <f>SUMPRODUCT('דירוגי נושאים'!AM10:AQ10,פרמטרים!$B$23:$F$23)/SUM(פרמטרים!$B$23:$F$23)</f>
        <v/>
      </c>
      <c r="K10" s="11">
        <f>SUMPRODUCT('דירוגי נושאים'!AR10:AV10,פרמטרים!$B$23:$F$23)/SUM(פרמטרים!$B$23:$F$23)</f>
        <v/>
      </c>
      <c r="L10" s="11">
        <f>SUMPRODUCT('דירוגי נושאים'!AW10:BA10,פרמטרים!$B$23:$F$23)/SUM(פרמטרים!$B$23:$F$23)</f>
        <v/>
      </c>
      <c r="M10" s="11">
        <f>(C10*פרמטרים!$B$4+D10*פרמטרים!$B$5+E10*פרמטרים!$B$6+F10*פרמטרים!$B$7+G10*פרמטרים!$B$8+H10*פרמטרים!$B$9+I10*פרמטרים!$B$10+J10*פרמטרים!$B$11+K10*פרמטרים!$B$12+L10*פרמטרים!$B$13)/SUM(פרמטרים!$B$4:$B$13)</f>
        <v/>
      </c>
      <c r="N10" s="11">
        <f>SUMPRODUCT('דירוגי תכונות'!C10:F10,פרמטרים!$B$26:$E$26)/SUM(פרמטרים!$B$26:$E$26)</f>
        <v/>
      </c>
      <c r="O10" s="11">
        <f>SUMPRODUCT('דירוגי תכונות'!G10:J10,פרמטרים!$B$26:$E$26)/SUM(פרמטרים!$B$26:$E$26)</f>
        <v/>
      </c>
      <c r="P10" s="11">
        <f>SUMPRODUCT('דירוגי תכונות'!K10:N10,פרמטרים!$B$26:$E$26)/SUM(פרמטרים!$B$26:$E$26)</f>
        <v/>
      </c>
      <c r="Q10" s="11">
        <f>SUMPRODUCT('דירוגי תכונות'!O10:R10,פרמטרים!$B$26:$E$26)/SUM(פרמטרים!$B$26:$E$26)</f>
        <v/>
      </c>
      <c r="R10" s="11">
        <f>SUMPRODUCT('דירוגי תכונות'!S10:V10,פרמטרים!$B$26:$E$26)/SUM(פרמטרים!$B$26:$E$26)</f>
        <v/>
      </c>
      <c r="S10" s="11">
        <f>(N10*פרמטרים!$B$16+O10*פרמטרים!$B$17+P10*פרמטרים!$B$18+Q10*פרמטרים!$B$19+R10*פרמטרים!$B$20)/SUM(פרמטרים!$B$16:$B$20)</f>
        <v/>
      </c>
      <c r="T10" s="11">
        <f>'דירוגי נושאים'!C10</f>
        <v/>
      </c>
      <c r="U10" s="11">
        <f>(פרמטרים!$B$28*M10+(1-פרמטרים!$B$28)*S10)*(1-פרמטרים!$B$29*(5-T10)/4)</f>
        <v/>
      </c>
      <c r="V10" s="12">
        <f>(U10-1)/4*100</f>
        <v/>
      </c>
      <c r="W10" s="11">
        <f>U10+ROW()/10000000</f>
        <v/>
      </c>
      <c r="X10" s="10">
        <f>RANK(W10,$W$2:$W$52)</f>
        <v/>
      </c>
    </row>
    <row r="11">
      <c r="A11" s="10" t="n">
        <v>10</v>
      </c>
      <c r="B11" s="9">
        <f>'דירוגי נושאים'!B11</f>
        <v/>
      </c>
      <c r="C11" s="11">
        <f>SUMPRODUCT('דירוגי נושאים'!D11:H11,פרמטרים!$B$23:$F$23)/SUM(פרמטרים!$B$23:$F$23)</f>
        <v/>
      </c>
      <c r="D11" s="11">
        <f>SUMPRODUCT('דירוגי נושאים'!I11:M11,פרמטרים!$B$23:$F$23)/SUM(פרמטרים!$B$23:$F$23)</f>
        <v/>
      </c>
      <c r="E11" s="11">
        <f>SUMPRODUCT('דירוגי נושאים'!N11:R11,פרמטרים!$B$23:$F$23)/SUM(פרמטרים!$B$23:$F$23)</f>
        <v/>
      </c>
      <c r="F11" s="11">
        <f>SUMPRODUCT('דירוגי נושאים'!S11:W11,פרמטרים!$B$23:$F$23)/SUM(פרמטרים!$B$23:$F$23)</f>
        <v/>
      </c>
      <c r="G11" s="11">
        <f>SUMPRODUCT('דירוגי נושאים'!X11:AB11,פרמטרים!$B$23:$F$23)/SUM(פרמטרים!$B$23:$F$23)</f>
        <v/>
      </c>
      <c r="H11" s="11">
        <f>SUMPRODUCT('דירוגי נושאים'!AC11:AG11,פרמטרים!$B$23:$F$23)/SUM(פרמטרים!$B$23:$F$23)</f>
        <v/>
      </c>
      <c r="I11" s="11">
        <f>SUMPRODUCT('דירוגי נושאים'!AH11:AL11,פרמטרים!$B$23:$F$23)/SUM(פרמטרים!$B$23:$F$23)</f>
        <v/>
      </c>
      <c r="J11" s="11">
        <f>SUMPRODUCT('דירוגי נושאים'!AM11:AQ11,פרמטרים!$B$23:$F$23)/SUM(פרמטרים!$B$23:$F$23)</f>
        <v/>
      </c>
      <c r="K11" s="11">
        <f>SUMPRODUCT('דירוגי נושאים'!AR11:AV11,פרמטרים!$B$23:$F$23)/SUM(פרמטרים!$B$23:$F$23)</f>
        <v/>
      </c>
      <c r="L11" s="11">
        <f>SUMPRODUCT('דירוגי נושאים'!AW11:BA11,פרמטרים!$B$23:$F$23)/SUM(פרמטרים!$B$23:$F$23)</f>
        <v/>
      </c>
      <c r="M11" s="11">
        <f>(C11*פרמטרים!$B$4+D11*פרמטרים!$B$5+E11*פרמטרים!$B$6+F11*פרמטרים!$B$7+G11*פרמטרים!$B$8+H11*פרמטרים!$B$9+I11*פרמטרים!$B$10+J11*פרמטרים!$B$11+K11*פרמטרים!$B$12+L11*פרמטרים!$B$13)/SUM(פרמטרים!$B$4:$B$13)</f>
        <v/>
      </c>
      <c r="N11" s="11">
        <f>SUMPRODUCT('דירוגי תכונות'!C11:F11,פרמטרים!$B$26:$E$26)/SUM(פרמטרים!$B$26:$E$26)</f>
        <v/>
      </c>
      <c r="O11" s="11">
        <f>SUMPRODUCT('דירוגי תכונות'!G11:J11,פרמטרים!$B$26:$E$26)/SUM(פרמטרים!$B$26:$E$26)</f>
        <v/>
      </c>
      <c r="P11" s="11">
        <f>SUMPRODUCT('דירוגי תכונות'!K11:N11,פרמטרים!$B$26:$E$26)/SUM(פרמטרים!$B$26:$E$26)</f>
        <v/>
      </c>
      <c r="Q11" s="11">
        <f>SUMPRODUCT('דירוגי תכונות'!O11:R11,פרמטרים!$B$26:$E$26)/SUM(פרמטרים!$B$26:$E$26)</f>
        <v/>
      </c>
      <c r="R11" s="11">
        <f>SUMPRODUCT('דירוגי תכונות'!S11:V11,פרמטרים!$B$26:$E$26)/SUM(פרמטרים!$B$26:$E$26)</f>
        <v/>
      </c>
      <c r="S11" s="11">
        <f>(N11*פרמטרים!$B$16+O11*פרמטרים!$B$17+P11*פרמטרים!$B$18+Q11*פרמטרים!$B$19+R11*פרמטרים!$B$20)/SUM(פרמטרים!$B$16:$B$20)</f>
        <v/>
      </c>
      <c r="T11" s="11">
        <f>'דירוגי נושאים'!C11</f>
        <v/>
      </c>
      <c r="U11" s="11">
        <f>(פרמטרים!$B$28*M11+(1-פרמטרים!$B$28)*S11)*(1-פרמטרים!$B$29*(5-T11)/4)</f>
        <v/>
      </c>
      <c r="V11" s="12">
        <f>(U11-1)/4*100</f>
        <v/>
      </c>
      <c r="W11" s="11">
        <f>U11+ROW()/10000000</f>
        <v/>
      </c>
      <c r="X11" s="10">
        <f>RANK(W11,$W$2:$W$52)</f>
        <v/>
      </c>
    </row>
    <row r="12">
      <c r="A12" s="10" t="n">
        <v>11</v>
      </c>
      <c r="B12" s="9">
        <f>'דירוגי נושאים'!B12</f>
        <v/>
      </c>
      <c r="C12" s="11">
        <f>SUMPRODUCT('דירוגי נושאים'!D12:H12,פרמטרים!$B$23:$F$23)/SUM(פרמטרים!$B$23:$F$23)</f>
        <v/>
      </c>
      <c r="D12" s="11">
        <f>SUMPRODUCT('דירוגי נושאים'!I12:M12,פרמטרים!$B$23:$F$23)/SUM(פרמטרים!$B$23:$F$23)</f>
        <v/>
      </c>
      <c r="E12" s="11">
        <f>SUMPRODUCT('דירוגי נושאים'!N12:R12,פרמטרים!$B$23:$F$23)/SUM(פרמטרים!$B$23:$F$23)</f>
        <v/>
      </c>
      <c r="F12" s="11">
        <f>SUMPRODUCT('דירוגי נושאים'!S12:W12,פרמטרים!$B$23:$F$23)/SUM(פרמטרים!$B$23:$F$23)</f>
        <v/>
      </c>
      <c r="G12" s="11">
        <f>SUMPRODUCT('דירוגי נושאים'!X12:AB12,פרמטרים!$B$23:$F$23)/SUM(פרמטרים!$B$23:$F$23)</f>
        <v/>
      </c>
      <c r="H12" s="11">
        <f>SUMPRODUCT('דירוגי נושאים'!AC12:AG12,פרמטרים!$B$23:$F$23)/SUM(פרמטרים!$B$23:$F$23)</f>
        <v/>
      </c>
      <c r="I12" s="11">
        <f>SUMPRODUCT('דירוגי נושאים'!AH12:AL12,פרמטרים!$B$23:$F$23)/SUM(פרמטרים!$B$23:$F$23)</f>
        <v/>
      </c>
      <c r="J12" s="11">
        <f>SUMPRODUCT('דירוגי נושאים'!AM12:AQ12,פרמטרים!$B$23:$F$23)/SUM(פרמטרים!$B$23:$F$23)</f>
        <v/>
      </c>
      <c r="K12" s="11">
        <f>SUMPRODUCT('דירוגי נושאים'!AR12:AV12,פרמטרים!$B$23:$F$23)/SUM(פרמטרים!$B$23:$F$23)</f>
        <v/>
      </c>
      <c r="L12" s="11">
        <f>SUMPRODUCT('דירוגי נושאים'!AW12:BA12,פרמטרים!$B$23:$F$23)/SUM(פרמטרים!$B$23:$F$23)</f>
        <v/>
      </c>
      <c r="M12" s="11">
        <f>(C12*פרמטרים!$B$4+D12*פרמטרים!$B$5+E12*פרמטרים!$B$6+F12*פרמטרים!$B$7+G12*פרמטרים!$B$8+H12*פרמטרים!$B$9+I12*פרמטרים!$B$10+J12*פרמטרים!$B$11+K12*פרמטרים!$B$12+L12*פרמטרים!$B$13)/SUM(פרמטרים!$B$4:$B$13)</f>
        <v/>
      </c>
      <c r="N12" s="11">
        <f>SUMPRODUCT('דירוגי תכונות'!C12:F12,פרמטרים!$B$26:$E$26)/SUM(פרמטרים!$B$26:$E$26)</f>
        <v/>
      </c>
      <c r="O12" s="11">
        <f>SUMPRODUCT('דירוגי תכונות'!G12:J12,פרמטרים!$B$26:$E$26)/SUM(פרמטרים!$B$26:$E$26)</f>
        <v/>
      </c>
      <c r="P12" s="11">
        <f>SUMPRODUCT('דירוגי תכונות'!K12:N12,פרמטרים!$B$26:$E$26)/SUM(פרמטרים!$B$26:$E$26)</f>
        <v/>
      </c>
      <c r="Q12" s="11">
        <f>SUMPRODUCT('דירוגי תכונות'!O12:R12,פרמטרים!$B$26:$E$26)/SUM(פרמטרים!$B$26:$E$26)</f>
        <v/>
      </c>
      <c r="R12" s="11">
        <f>SUMPRODUCT('דירוגי תכונות'!S12:V12,פרמטרים!$B$26:$E$26)/SUM(פרמטרים!$B$26:$E$26)</f>
        <v/>
      </c>
      <c r="S12" s="11">
        <f>(N12*פרמטרים!$B$16+O12*פרמטרים!$B$17+P12*פרמטרים!$B$18+Q12*פרמטרים!$B$19+R12*פרמטרים!$B$20)/SUM(פרמטרים!$B$16:$B$20)</f>
        <v/>
      </c>
      <c r="T12" s="11">
        <f>'דירוגי נושאים'!C12</f>
        <v/>
      </c>
      <c r="U12" s="11">
        <f>(פרמטרים!$B$28*M12+(1-פרמטרים!$B$28)*S12)*(1-פרמטרים!$B$29*(5-T12)/4)</f>
        <v/>
      </c>
      <c r="V12" s="12">
        <f>(U12-1)/4*100</f>
        <v/>
      </c>
      <c r="W12" s="11">
        <f>U12+ROW()/10000000</f>
        <v/>
      </c>
      <c r="X12" s="10">
        <f>RANK(W12,$W$2:$W$52)</f>
        <v/>
      </c>
    </row>
    <row r="13">
      <c r="A13" s="10" t="n">
        <v>12</v>
      </c>
      <c r="B13" s="9">
        <f>'דירוגי נושאים'!B13</f>
        <v/>
      </c>
      <c r="C13" s="11">
        <f>SUMPRODUCT('דירוגי נושאים'!D13:H13,פרמטרים!$B$23:$F$23)/SUM(פרמטרים!$B$23:$F$23)</f>
        <v/>
      </c>
      <c r="D13" s="11">
        <f>SUMPRODUCT('דירוגי נושאים'!I13:M13,פרמטרים!$B$23:$F$23)/SUM(פרמטרים!$B$23:$F$23)</f>
        <v/>
      </c>
      <c r="E13" s="11">
        <f>SUMPRODUCT('דירוגי נושאים'!N13:R13,פרמטרים!$B$23:$F$23)/SUM(פרמטרים!$B$23:$F$23)</f>
        <v/>
      </c>
      <c r="F13" s="11">
        <f>SUMPRODUCT('דירוגי נושאים'!S13:W13,פרמטרים!$B$23:$F$23)/SUM(פרמטרים!$B$23:$F$23)</f>
        <v/>
      </c>
      <c r="G13" s="11">
        <f>SUMPRODUCT('דירוגי נושאים'!X13:AB13,פרמטרים!$B$23:$F$23)/SUM(פרמטרים!$B$23:$F$23)</f>
        <v/>
      </c>
      <c r="H13" s="11">
        <f>SUMPRODUCT('דירוגי נושאים'!AC13:AG13,פרמטרים!$B$23:$F$23)/SUM(פרמטרים!$B$23:$F$23)</f>
        <v/>
      </c>
      <c r="I13" s="11">
        <f>SUMPRODUCT('דירוגי נושאים'!AH13:AL13,פרמטרים!$B$23:$F$23)/SUM(פרמטרים!$B$23:$F$23)</f>
        <v/>
      </c>
      <c r="J13" s="11">
        <f>SUMPRODUCT('דירוגי נושאים'!AM13:AQ13,פרמטרים!$B$23:$F$23)/SUM(פרמטרים!$B$23:$F$23)</f>
        <v/>
      </c>
      <c r="K13" s="11">
        <f>SUMPRODUCT('דירוגי נושאים'!AR13:AV13,פרמטרים!$B$23:$F$23)/SUM(פרמטרים!$B$23:$F$23)</f>
        <v/>
      </c>
      <c r="L13" s="11">
        <f>SUMPRODUCT('דירוגי נושאים'!AW13:BA13,פרמטרים!$B$23:$F$23)/SUM(פרמטרים!$B$23:$F$23)</f>
        <v/>
      </c>
      <c r="M13" s="11">
        <f>(C13*פרמטרים!$B$4+D13*פרמטרים!$B$5+E13*פרמטרים!$B$6+F13*פרמטרים!$B$7+G13*פרמטרים!$B$8+H13*פרמטרים!$B$9+I13*פרמטרים!$B$10+J13*פרמטרים!$B$11+K13*פרמטרים!$B$12+L13*פרמטרים!$B$13)/SUM(פרמטרים!$B$4:$B$13)</f>
        <v/>
      </c>
      <c r="N13" s="11">
        <f>SUMPRODUCT('דירוגי תכונות'!C13:F13,פרמטרים!$B$26:$E$26)/SUM(פרמטרים!$B$26:$E$26)</f>
        <v/>
      </c>
      <c r="O13" s="11">
        <f>SUMPRODUCT('דירוגי תכונות'!G13:J13,פרמטרים!$B$26:$E$26)/SUM(פרמטרים!$B$26:$E$26)</f>
        <v/>
      </c>
      <c r="P13" s="11">
        <f>SUMPRODUCT('דירוגי תכונות'!K13:N13,פרמטרים!$B$26:$E$26)/SUM(פרמטרים!$B$26:$E$26)</f>
        <v/>
      </c>
      <c r="Q13" s="11">
        <f>SUMPRODUCT('דירוגי תכונות'!O13:R13,פרמטרים!$B$26:$E$26)/SUM(פרמטרים!$B$26:$E$26)</f>
        <v/>
      </c>
      <c r="R13" s="11">
        <f>SUMPRODUCT('דירוגי תכונות'!S13:V13,פרמטרים!$B$26:$E$26)/SUM(פרמטרים!$B$26:$E$26)</f>
        <v/>
      </c>
      <c r="S13" s="11">
        <f>(N13*פרמטרים!$B$16+O13*פרמטרים!$B$17+P13*פרמטרים!$B$18+Q13*פרמטרים!$B$19+R13*פרמטרים!$B$20)/SUM(פרמטרים!$B$16:$B$20)</f>
        <v/>
      </c>
      <c r="T13" s="11">
        <f>'דירוגי נושאים'!C13</f>
        <v/>
      </c>
      <c r="U13" s="11">
        <f>(פרמטרים!$B$28*M13+(1-פרמטרים!$B$28)*S13)*(1-פרמטרים!$B$29*(5-T13)/4)</f>
        <v/>
      </c>
      <c r="V13" s="12">
        <f>(U13-1)/4*100</f>
        <v/>
      </c>
      <c r="W13" s="11">
        <f>U13+ROW()/10000000</f>
        <v/>
      </c>
      <c r="X13" s="10">
        <f>RANK(W13,$W$2:$W$52)</f>
        <v/>
      </c>
    </row>
    <row r="14">
      <c r="A14" s="10" t="n">
        <v>13</v>
      </c>
      <c r="B14" s="9">
        <f>'דירוגי נושאים'!B14</f>
        <v/>
      </c>
      <c r="C14" s="11">
        <f>SUMPRODUCT('דירוגי נושאים'!D14:H14,פרמטרים!$B$23:$F$23)/SUM(פרמטרים!$B$23:$F$23)</f>
        <v/>
      </c>
      <c r="D14" s="11">
        <f>SUMPRODUCT('דירוגי נושאים'!I14:M14,פרמטרים!$B$23:$F$23)/SUM(פרמטרים!$B$23:$F$23)</f>
        <v/>
      </c>
      <c r="E14" s="11">
        <f>SUMPRODUCT('דירוגי נושאים'!N14:R14,פרמטרים!$B$23:$F$23)/SUM(פרמטרים!$B$23:$F$23)</f>
        <v/>
      </c>
      <c r="F14" s="11">
        <f>SUMPRODUCT('דירוגי נושאים'!S14:W14,פרמטרים!$B$23:$F$23)/SUM(פרמטרים!$B$23:$F$23)</f>
        <v/>
      </c>
      <c r="G14" s="11">
        <f>SUMPRODUCT('דירוגי נושאים'!X14:AB14,פרמטרים!$B$23:$F$23)/SUM(פרמטרים!$B$23:$F$23)</f>
        <v/>
      </c>
      <c r="H14" s="11">
        <f>SUMPRODUCT('דירוגי נושאים'!AC14:AG14,פרמטרים!$B$23:$F$23)/SUM(פרמטרים!$B$23:$F$23)</f>
        <v/>
      </c>
      <c r="I14" s="11">
        <f>SUMPRODUCT('דירוגי נושאים'!AH14:AL14,פרמטרים!$B$23:$F$23)/SUM(פרמטרים!$B$23:$F$23)</f>
        <v/>
      </c>
      <c r="J14" s="11">
        <f>SUMPRODUCT('דירוגי נושאים'!AM14:AQ14,פרמטרים!$B$23:$F$23)/SUM(פרמטרים!$B$23:$F$23)</f>
        <v/>
      </c>
      <c r="K14" s="11">
        <f>SUMPRODUCT('דירוגי נושאים'!AR14:AV14,פרמטרים!$B$23:$F$23)/SUM(פרמטרים!$B$23:$F$23)</f>
        <v/>
      </c>
      <c r="L14" s="11">
        <f>SUMPRODUCT('דירוגי נושאים'!AW14:BA14,פרמטרים!$B$23:$F$23)/SUM(פרמטרים!$B$23:$F$23)</f>
        <v/>
      </c>
      <c r="M14" s="11">
        <f>(C14*פרמטרים!$B$4+D14*פרמטרים!$B$5+E14*פרמטרים!$B$6+F14*פרמטרים!$B$7+G14*פרמטרים!$B$8+H14*פרמטרים!$B$9+I14*פרמטרים!$B$10+J14*פרמטרים!$B$11+K14*פרמטרים!$B$12+L14*פרמטרים!$B$13)/SUM(פרמטרים!$B$4:$B$13)</f>
        <v/>
      </c>
      <c r="N14" s="11">
        <f>SUMPRODUCT('דירוגי תכונות'!C14:F14,פרמטרים!$B$26:$E$26)/SUM(פרמטרים!$B$26:$E$26)</f>
        <v/>
      </c>
      <c r="O14" s="11">
        <f>SUMPRODUCT('דירוגי תכונות'!G14:J14,פרמטרים!$B$26:$E$26)/SUM(פרמטרים!$B$26:$E$26)</f>
        <v/>
      </c>
      <c r="P14" s="11">
        <f>SUMPRODUCT('דירוגי תכונות'!K14:N14,פרמטרים!$B$26:$E$26)/SUM(פרמטרים!$B$26:$E$26)</f>
        <v/>
      </c>
      <c r="Q14" s="11">
        <f>SUMPRODUCT('דירוגי תכונות'!O14:R14,פרמטרים!$B$26:$E$26)/SUM(פרמטרים!$B$26:$E$26)</f>
        <v/>
      </c>
      <c r="R14" s="11">
        <f>SUMPRODUCT('דירוגי תכונות'!S14:V14,פרמטרים!$B$26:$E$26)/SUM(פרמטרים!$B$26:$E$26)</f>
        <v/>
      </c>
      <c r="S14" s="11">
        <f>(N14*פרמטרים!$B$16+O14*פרמטרים!$B$17+P14*פרמטרים!$B$18+Q14*פרמטרים!$B$19+R14*פרמטרים!$B$20)/SUM(פרמטרים!$B$16:$B$20)</f>
        <v/>
      </c>
      <c r="T14" s="11">
        <f>'דירוגי נושאים'!C14</f>
        <v/>
      </c>
      <c r="U14" s="11">
        <f>(פרמטרים!$B$28*M14+(1-פרמטרים!$B$28)*S14)*(1-פרמטרים!$B$29*(5-T14)/4)</f>
        <v/>
      </c>
      <c r="V14" s="12">
        <f>(U14-1)/4*100</f>
        <v/>
      </c>
      <c r="W14" s="11">
        <f>U14+ROW()/10000000</f>
        <v/>
      </c>
      <c r="X14" s="10">
        <f>RANK(W14,$W$2:$W$52)</f>
        <v/>
      </c>
    </row>
    <row r="15">
      <c r="A15" s="10" t="n">
        <v>14</v>
      </c>
      <c r="B15" s="9">
        <f>'דירוגי נושאים'!B15</f>
        <v/>
      </c>
      <c r="C15" s="11">
        <f>SUMPRODUCT('דירוגי נושאים'!D15:H15,פרמטרים!$B$23:$F$23)/SUM(פרמטרים!$B$23:$F$23)</f>
        <v/>
      </c>
      <c r="D15" s="11">
        <f>SUMPRODUCT('דירוגי נושאים'!I15:M15,פרמטרים!$B$23:$F$23)/SUM(פרמטרים!$B$23:$F$23)</f>
        <v/>
      </c>
      <c r="E15" s="11">
        <f>SUMPRODUCT('דירוגי נושאים'!N15:R15,פרמטרים!$B$23:$F$23)/SUM(פרמטרים!$B$23:$F$23)</f>
        <v/>
      </c>
      <c r="F15" s="11">
        <f>SUMPRODUCT('דירוגי נושאים'!S15:W15,פרמטרים!$B$23:$F$23)/SUM(פרמטרים!$B$23:$F$23)</f>
        <v/>
      </c>
      <c r="G15" s="11">
        <f>SUMPRODUCT('דירוגי נושאים'!X15:AB15,פרמטרים!$B$23:$F$23)/SUM(פרמטרים!$B$23:$F$23)</f>
        <v/>
      </c>
      <c r="H15" s="11">
        <f>SUMPRODUCT('דירוגי נושאים'!AC15:AG15,פרמטרים!$B$23:$F$23)/SUM(פרמטרים!$B$23:$F$23)</f>
        <v/>
      </c>
      <c r="I15" s="11">
        <f>SUMPRODUCT('דירוגי נושאים'!AH15:AL15,פרמטרים!$B$23:$F$23)/SUM(פרמטרים!$B$23:$F$23)</f>
        <v/>
      </c>
      <c r="J15" s="11">
        <f>SUMPRODUCT('דירוגי נושאים'!AM15:AQ15,פרמטרים!$B$23:$F$23)/SUM(פרמטרים!$B$23:$F$23)</f>
        <v/>
      </c>
      <c r="K15" s="11">
        <f>SUMPRODUCT('דירוגי נושאים'!AR15:AV15,פרמטרים!$B$23:$F$23)/SUM(פרמטרים!$B$23:$F$23)</f>
        <v/>
      </c>
      <c r="L15" s="11">
        <f>SUMPRODUCT('דירוגי נושאים'!AW15:BA15,פרמטרים!$B$23:$F$23)/SUM(פרמטרים!$B$23:$F$23)</f>
        <v/>
      </c>
      <c r="M15" s="11">
        <f>(C15*פרמטרים!$B$4+D15*פרמטרים!$B$5+E15*פרמטרים!$B$6+F15*פרמטרים!$B$7+G15*פרמטרים!$B$8+H15*פרמטרים!$B$9+I15*פרמטרים!$B$10+J15*פרמטרים!$B$11+K15*פרמטרים!$B$12+L15*פרמטרים!$B$13)/SUM(פרמטרים!$B$4:$B$13)</f>
        <v/>
      </c>
      <c r="N15" s="11">
        <f>SUMPRODUCT('דירוגי תכונות'!C15:F15,פרמטרים!$B$26:$E$26)/SUM(פרמטרים!$B$26:$E$26)</f>
        <v/>
      </c>
      <c r="O15" s="11">
        <f>SUMPRODUCT('דירוגי תכונות'!G15:J15,פרמטרים!$B$26:$E$26)/SUM(פרמטרים!$B$26:$E$26)</f>
        <v/>
      </c>
      <c r="P15" s="11">
        <f>SUMPRODUCT('דירוגי תכונות'!K15:N15,פרמטרים!$B$26:$E$26)/SUM(פרמטרים!$B$26:$E$26)</f>
        <v/>
      </c>
      <c r="Q15" s="11">
        <f>SUMPRODUCT('דירוגי תכונות'!O15:R15,פרמטרים!$B$26:$E$26)/SUM(פרמטרים!$B$26:$E$26)</f>
        <v/>
      </c>
      <c r="R15" s="11">
        <f>SUMPRODUCT('דירוגי תכונות'!S15:V15,פרמטרים!$B$26:$E$26)/SUM(פרמטרים!$B$26:$E$26)</f>
        <v/>
      </c>
      <c r="S15" s="11">
        <f>(N15*פרמטרים!$B$16+O15*פרמטרים!$B$17+P15*פרמטרים!$B$18+Q15*פרמטרים!$B$19+R15*פרמטרים!$B$20)/SUM(פרמטרים!$B$16:$B$20)</f>
        <v/>
      </c>
      <c r="T15" s="11">
        <f>'דירוגי נושאים'!C15</f>
        <v/>
      </c>
      <c r="U15" s="11">
        <f>(פרמטרים!$B$28*M15+(1-פרמטרים!$B$28)*S15)*(1-פרמטרים!$B$29*(5-T15)/4)</f>
        <v/>
      </c>
      <c r="V15" s="12">
        <f>(U15-1)/4*100</f>
        <v/>
      </c>
      <c r="W15" s="11">
        <f>U15+ROW()/10000000</f>
        <v/>
      </c>
      <c r="X15" s="10">
        <f>RANK(W15,$W$2:$W$52)</f>
        <v/>
      </c>
    </row>
    <row r="16">
      <c r="A16" s="10" t="n">
        <v>15</v>
      </c>
      <c r="B16" s="9">
        <f>'דירוגי נושאים'!B16</f>
        <v/>
      </c>
      <c r="C16" s="11">
        <f>SUMPRODUCT('דירוגי נושאים'!D16:H16,פרמטרים!$B$23:$F$23)/SUM(פרמטרים!$B$23:$F$23)</f>
        <v/>
      </c>
      <c r="D16" s="11">
        <f>SUMPRODUCT('דירוגי נושאים'!I16:M16,פרמטרים!$B$23:$F$23)/SUM(פרמטרים!$B$23:$F$23)</f>
        <v/>
      </c>
      <c r="E16" s="11">
        <f>SUMPRODUCT('דירוגי נושאים'!N16:R16,פרמטרים!$B$23:$F$23)/SUM(פרמטרים!$B$23:$F$23)</f>
        <v/>
      </c>
      <c r="F16" s="11">
        <f>SUMPRODUCT('דירוגי נושאים'!S16:W16,פרמטרים!$B$23:$F$23)/SUM(פרמטרים!$B$23:$F$23)</f>
        <v/>
      </c>
      <c r="G16" s="11">
        <f>SUMPRODUCT('דירוגי נושאים'!X16:AB16,פרמטרים!$B$23:$F$23)/SUM(פרמטרים!$B$23:$F$23)</f>
        <v/>
      </c>
      <c r="H16" s="11">
        <f>SUMPRODUCT('דירוגי נושאים'!AC16:AG16,פרמטרים!$B$23:$F$23)/SUM(פרמטרים!$B$23:$F$23)</f>
        <v/>
      </c>
      <c r="I16" s="11">
        <f>SUMPRODUCT('דירוגי נושאים'!AH16:AL16,פרמטרים!$B$23:$F$23)/SUM(פרמטרים!$B$23:$F$23)</f>
        <v/>
      </c>
      <c r="J16" s="11">
        <f>SUMPRODUCT('דירוגי נושאים'!AM16:AQ16,פרמטרים!$B$23:$F$23)/SUM(פרמטרים!$B$23:$F$23)</f>
        <v/>
      </c>
      <c r="K16" s="11">
        <f>SUMPRODUCT('דירוגי נושאים'!AR16:AV16,פרמטרים!$B$23:$F$23)/SUM(פרמטרים!$B$23:$F$23)</f>
        <v/>
      </c>
      <c r="L16" s="11">
        <f>SUMPRODUCT('דירוגי נושאים'!AW16:BA16,פרמטרים!$B$23:$F$23)/SUM(פרמטרים!$B$23:$F$23)</f>
        <v/>
      </c>
      <c r="M16" s="11">
        <f>(C16*פרמטרים!$B$4+D16*פרמטרים!$B$5+E16*פרמטרים!$B$6+F16*פרמטרים!$B$7+G16*פרמטרים!$B$8+H16*פרמטרים!$B$9+I16*פרמטרים!$B$10+J16*פרמטרים!$B$11+K16*פרמטרים!$B$12+L16*פרמטרים!$B$13)/SUM(פרמטרים!$B$4:$B$13)</f>
        <v/>
      </c>
      <c r="N16" s="11">
        <f>SUMPRODUCT('דירוגי תכונות'!C16:F16,פרמטרים!$B$26:$E$26)/SUM(פרמטרים!$B$26:$E$26)</f>
        <v/>
      </c>
      <c r="O16" s="11">
        <f>SUMPRODUCT('דירוגי תכונות'!G16:J16,פרמטרים!$B$26:$E$26)/SUM(פרמטרים!$B$26:$E$26)</f>
        <v/>
      </c>
      <c r="P16" s="11">
        <f>SUMPRODUCT('דירוגי תכונות'!K16:N16,פרמטרים!$B$26:$E$26)/SUM(פרמטרים!$B$26:$E$26)</f>
        <v/>
      </c>
      <c r="Q16" s="11">
        <f>SUMPRODUCT('דירוגי תכונות'!O16:R16,פרמטרים!$B$26:$E$26)/SUM(פרמטרים!$B$26:$E$26)</f>
        <v/>
      </c>
      <c r="R16" s="11">
        <f>SUMPRODUCT('דירוגי תכונות'!S16:V16,פרמטרים!$B$26:$E$26)/SUM(פרמטרים!$B$26:$E$26)</f>
        <v/>
      </c>
      <c r="S16" s="11">
        <f>(N16*פרמטרים!$B$16+O16*פרמטרים!$B$17+P16*פרמטרים!$B$18+Q16*פרמטרים!$B$19+R16*פרמטרים!$B$20)/SUM(פרמטרים!$B$16:$B$20)</f>
        <v/>
      </c>
      <c r="T16" s="11">
        <f>'דירוגי נושאים'!C16</f>
        <v/>
      </c>
      <c r="U16" s="11">
        <f>(פרמטרים!$B$28*M16+(1-פרמטרים!$B$28)*S16)*(1-פרמטרים!$B$29*(5-T16)/4)</f>
        <v/>
      </c>
      <c r="V16" s="12">
        <f>(U16-1)/4*100</f>
        <v/>
      </c>
      <c r="W16" s="11">
        <f>U16+ROW()/10000000</f>
        <v/>
      </c>
      <c r="X16" s="10">
        <f>RANK(W16,$W$2:$W$52)</f>
        <v/>
      </c>
    </row>
    <row r="17">
      <c r="A17" s="10" t="n">
        <v>16</v>
      </c>
      <c r="B17" s="9">
        <f>'דירוגי נושאים'!B17</f>
        <v/>
      </c>
      <c r="C17" s="11">
        <f>SUMPRODUCT('דירוגי נושאים'!D17:H17,פרמטרים!$B$23:$F$23)/SUM(פרמטרים!$B$23:$F$23)</f>
        <v/>
      </c>
      <c r="D17" s="11">
        <f>SUMPRODUCT('דירוגי נושאים'!I17:M17,פרמטרים!$B$23:$F$23)/SUM(פרמטרים!$B$23:$F$23)</f>
        <v/>
      </c>
      <c r="E17" s="11">
        <f>SUMPRODUCT('דירוגי נושאים'!N17:R17,פרמטרים!$B$23:$F$23)/SUM(פרמטרים!$B$23:$F$23)</f>
        <v/>
      </c>
      <c r="F17" s="11">
        <f>SUMPRODUCT('דירוגי נושאים'!S17:W17,פרמטרים!$B$23:$F$23)/SUM(פרמטרים!$B$23:$F$23)</f>
        <v/>
      </c>
      <c r="G17" s="11">
        <f>SUMPRODUCT('דירוגי נושאים'!X17:AB17,פרמטרים!$B$23:$F$23)/SUM(פרמטרים!$B$23:$F$23)</f>
        <v/>
      </c>
      <c r="H17" s="11">
        <f>SUMPRODUCT('דירוגי נושאים'!AC17:AG17,פרמטרים!$B$23:$F$23)/SUM(פרמטרים!$B$23:$F$23)</f>
        <v/>
      </c>
      <c r="I17" s="11">
        <f>SUMPRODUCT('דירוגי נושאים'!AH17:AL17,פרמטרים!$B$23:$F$23)/SUM(פרמטרים!$B$23:$F$23)</f>
        <v/>
      </c>
      <c r="J17" s="11">
        <f>SUMPRODUCT('דירוגי נושאים'!AM17:AQ17,פרמטרים!$B$23:$F$23)/SUM(פרמטרים!$B$23:$F$23)</f>
        <v/>
      </c>
      <c r="K17" s="11">
        <f>SUMPRODUCT('דירוגי נושאים'!AR17:AV17,פרמטרים!$B$23:$F$23)/SUM(פרמטרים!$B$23:$F$23)</f>
        <v/>
      </c>
      <c r="L17" s="11">
        <f>SUMPRODUCT('דירוגי נושאים'!AW17:BA17,פרמטרים!$B$23:$F$23)/SUM(פרמטרים!$B$23:$F$23)</f>
        <v/>
      </c>
      <c r="M17" s="11">
        <f>(C17*פרמטרים!$B$4+D17*פרמטרים!$B$5+E17*פרמטרים!$B$6+F17*פרמטרים!$B$7+G17*פרמטרים!$B$8+H17*פרמטרים!$B$9+I17*פרמטרים!$B$10+J17*פרמטרים!$B$11+K17*פרמטרים!$B$12+L17*פרמטרים!$B$13)/SUM(פרמטרים!$B$4:$B$13)</f>
        <v/>
      </c>
      <c r="N17" s="11">
        <f>SUMPRODUCT('דירוגי תכונות'!C17:F17,פרמטרים!$B$26:$E$26)/SUM(פרמטרים!$B$26:$E$26)</f>
        <v/>
      </c>
      <c r="O17" s="11">
        <f>SUMPRODUCT('דירוגי תכונות'!G17:J17,פרמטרים!$B$26:$E$26)/SUM(פרמטרים!$B$26:$E$26)</f>
        <v/>
      </c>
      <c r="P17" s="11">
        <f>SUMPRODUCT('דירוגי תכונות'!K17:N17,פרמטרים!$B$26:$E$26)/SUM(פרמטרים!$B$26:$E$26)</f>
        <v/>
      </c>
      <c r="Q17" s="11">
        <f>SUMPRODUCT('דירוגי תכונות'!O17:R17,פרמטרים!$B$26:$E$26)/SUM(פרמטרים!$B$26:$E$26)</f>
        <v/>
      </c>
      <c r="R17" s="11">
        <f>SUMPRODUCT('דירוגי תכונות'!S17:V17,פרמטרים!$B$26:$E$26)/SUM(פרמטרים!$B$26:$E$26)</f>
        <v/>
      </c>
      <c r="S17" s="11">
        <f>(N17*פרמטרים!$B$16+O17*פרמטרים!$B$17+P17*פרמטרים!$B$18+Q17*פרמטרים!$B$19+R17*פרמטרים!$B$20)/SUM(פרמטרים!$B$16:$B$20)</f>
        <v/>
      </c>
      <c r="T17" s="11">
        <f>'דירוגי נושאים'!C17</f>
        <v/>
      </c>
      <c r="U17" s="11">
        <f>(פרמטרים!$B$28*M17+(1-פרמטרים!$B$28)*S17)*(1-פרמטרים!$B$29*(5-T17)/4)</f>
        <v/>
      </c>
      <c r="V17" s="12">
        <f>(U17-1)/4*100</f>
        <v/>
      </c>
      <c r="W17" s="11">
        <f>U17+ROW()/10000000</f>
        <v/>
      </c>
      <c r="X17" s="10">
        <f>RANK(W17,$W$2:$W$52)</f>
        <v/>
      </c>
    </row>
    <row r="18">
      <c r="A18" s="10" t="n">
        <v>17</v>
      </c>
      <c r="B18" s="9">
        <f>'דירוגי נושאים'!B18</f>
        <v/>
      </c>
      <c r="C18" s="11">
        <f>SUMPRODUCT('דירוגי נושאים'!D18:H18,פרמטרים!$B$23:$F$23)/SUM(פרמטרים!$B$23:$F$23)</f>
        <v/>
      </c>
      <c r="D18" s="11">
        <f>SUMPRODUCT('דירוגי נושאים'!I18:M18,פרמטרים!$B$23:$F$23)/SUM(פרמטרים!$B$23:$F$23)</f>
        <v/>
      </c>
      <c r="E18" s="11">
        <f>SUMPRODUCT('דירוגי נושאים'!N18:R18,פרמטרים!$B$23:$F$23)/SUM(פרמטרים!$B$23:$F$23)</f>
        <v/>
      </c>
      <c r="F18" s="11">
        <f>SUMPRODUCT('דירוגי נושאים'!S18:W18,פרמטרים!$B$23:$F$23)/SUM(פרמטרים!$B$23:$F$23)</f>
        <v/>
      </c>
      <c r="G18" s="11">
        <f>SUMPRODUCT('דירוגי נושאים'!X18:AB18,פרמטרים!$B$23:$F$23)/SUM(פרמטרים!$B$23:$F$23)</f>
        <v/>
      </c>
      <c r="H18" s="11">
        <f>SUMPRODUCT('דירוגי נושאים'!AC18:AG18,פרמטרים!$B$23:$F$23)/SUM(פרמטרים!$B$23:$F$23)</f>
        <v/>
      </c>
      <c r="I18" s="11">
        <f>SUMPRODUCT('דירוגי נושאים'!AH18:AL18,פרמטרים!$B$23:$F$23)/SUM(פרמטרים!$B$23:$F$23)</f>
        <v/>
      </c>
      <c r="J18" s="11">
        <f>SUMPRODUCT('דירוגי נושאים'!AM18:AQ18,פרמטרים!$B$23:$F$23)/SUM(פרמטרים!$B$23:$F$23)</f>
        <v/>
      </c>
      <c r="K18" s="11">
        <f>SUMPRODUCT('דירוגי נושאים'!AR18:AV18,פרמטרים!$B$23:$F$23)/SUM(פרמטרים!$B$23:$F$23)</f>
        <v/>
      </c>
      <c r="L18" s="11">
        <f>SUMPRODUCT('דירוגי נושאים'!AW18:BA18,פרמטרים!$B$23:$F$23)/SUM(פרמטרים!$B$23:$F$23)</f>
        <v/>
      </c>
      <c r="M18" s="11">
        <f>(C18*פרמטרים!$B$4+D18*פרמטרים!$B$5+E18*פרמטרים!$B$6+F18*פרמטרים!$B$7+G18*פרמטרים!$B$8+H18*פרמטרים!$B$9+I18*פרמטרים!$B$10+J18*פרמטרים!$B$11+K18*פרמטרים!$B$12+L18*פרמטרים!$B$13)/SUM(פרמטרים!$B$4:$B$13)</f>
        <v/>
      </c>
      <c r="N18" s="11">
        <f>SUMPRODUCT('דירוגי תכונות'!C18:F18,פרמטרים!$B$26:$E$26)/SUM(פרמטרים!$B$26:$E$26)</f>
        <v/>
      </c>
      <c r="O18" s="11">
        <f>SUMPRODUCT('דירוגי תכונות'!G18:J18,פרמטרים!$B$26:$E$26)/SUM(פרמטרים!$B$26:$E$26)</f>
        <v/>
      </c>
      <c r="P18" s="11">
        <f>SUMPRODUCT('דירוגי תכונות'!K18:N18,פרמטרים!$B$26:$E$26)/SUM(פרמטרים!$B$26:$E$26)</f>
        <v/>
      </c>
      <c r="Q18" s="11">
        <f>SUMPRODUCT('דירוגי תכונות'!O18:R18,פרמטרים!$B$26:$E$26)/SUM(פרמטרים!$B$26:$E$26)</f>
        <v/>
      </c>
      <c r="R18" s="11">
        <f>SUMPRODUCT('דירוגי תכונות'!S18:V18,פרמטרים!$B$26:$E$26)/SUM(פרמטרים!$B$26:$E$26)</f>
        <v/>
      </c>
      <c r="S18" s="11">
        <f>(N18*פרמטרים!$B$16+O18*פרמטרים!$B$17+P18*פרמטרים!$B$18+Q18*פרמטרים!$B$19+R18*פרמטרים!$B$20)/SUM(פרמטרים!$B$16:$B$20)</f>
        <v/>
      </c>
      <c r="T18" s="11">
        <f>'דירוגי נושאים'!C18</f>
        <v/>
      </c>
      <c r="U18" s="11">
        <f>(פרמטרים!$B$28*M18+(1-פרמטרים!$B$28)*S18)*(1-פרמטרים!$B$29*(5-T18)/4)</f>
        <v/>
      </c>
      <c r="V18" s="12">
        <f>(U18-1)/4*100</f>
        <v/>
      </c>
      <c r="W18" s="11">
        <f>U18+ROW()/10000000</f>
        <v/>
      </c>
      <c r="X18" s="10">
        <f>RANK(W18,$W$2:$W$52)</f>
        <v/>
      </c>
    </row>
    <row r="19">
      <c r="A19" s="10" t="n">
        <v>18</v>
      </c>
      <c r="B19" s="9">
        <f>'דירוגי נושאים'!B19</f>
        <v/>
      </c>
      <c r="C19" s="11">
        <f>SUMPRODUCT('דירוגי נושאים'!D19:H19,פרמטרים!$B$23:$F$23)/SUM(פרמטרים!$B$23:$F$23)</f>
        <v/>
      </c>
      <c r="D19" s="11">
        <f>SUMPRODUCT('דירוגי נושאים'!I19:M19,פרמטרים!$B$23:$F$23)/SUM(פרמטרים!$B$23:$F$23)</f>
        <v/>
      </c>
      <c r="E19" s="11">
        <f>SUMPRODUCT('דירוגי נושאים'!N19:R19,פרמטרים!$B$23:$F$23)/SUM(פרמטרים!$B$23:$F$23)</f>
        <v/>
      </c>
      <c r="F19" s="11">
        <f>SUMPRODUCT('דירוגי נושאים'!S19:W19,פרמטרים!$B$23:$F$23)/SUM(פרמטרים!$B$23:$F$23)</f>
        <v/>
      </c>
      <c r="G19" s="11">
        <f>SUMPRODUCT('דירוגי נושאים'!X19:AB19,פרמטרים!$B$23:$F$23)/SUM(פרמטרים!$B$23:$F$23)</f>
        <v/>
      </c>
      <c r="H19" s="11">
        <f>SUMPRODUCT('דירוגי נושאים'!AC19:AG19,פרמטרים!$B$23:$F$23)/SUM(פרמטרים!$B$23:$F$23)</f>
        <v/>
      </c>
      <c r="I19" s="11">
        <f>SUMPRODUCT('דירוגי נושאים'!AH19:AL19,פרמטרים!$B$23:$F$23)/SUM(פרמטרים!$B$23:$F$23)</f>
        <v/>
      </c>
      <c r="J19" s="11">
        <f>SUMPRODUCT('דירוגי נושאים'!AM19:AQ19,פרמטרים!$B$23:$F$23)/SUM(פרמטרים!$B$23:$F$23)</f>
        <v/>
      </c>
      <c r="K19" s="11">
        <f>SUMPRODUCT('דירוגי נושאים'!AR19:AV19,פרמטרים!$B$23:$F$23)/SUM(פרמטרים!$B$23:$F$23)</f>
        <v/>
      </c>
      <c r="L19" s="11">
        <f>SUMPRODUCT('דירוגי נושאים'!AW19:BA19,פרמטרים!$B$23:$F$23)/SUM(פרמטרים!$B$23:$F$23)</f>
        <v/>
      </c>
      <c r="M19" s="11">
        <f>(C19*פרמטרים!$B$4+D19*פרמטרים!$B$5+E19*פרמטרים!$B$6+F19*פרמטרים!$B$7+G19*פרמטרים!$B$8+H19*פרמטרים!$B$9+I19*פרמטרים!$B$10+J19*פרמטרים!$B$11+K19*פרמטרים!$B$12+L19*פרמטרים!$B$13)/SUM(פרמטרים!$B$4:$B$13)</f>
        <v/>
      </c>
      <c r="N19" s="11">
        <f>SUMPRODUCT('דירוגי תכונות'!C19:F19,פרמטרים!$B$26:$E$26)/SUM(פרמטרים!$B$26:$E$26)</f>
        <v/>
      </c>
      <c r="O19" s="11">
        <f>SUMPRODUCT('דירוגי תכונות'!G19:J19,פרמטרים!$B$26:$E$26)/SUM(פרמטרים!$B$26:$E$26)</f>
        <v/>
      </c>
      <c r="P19" s="11">
        <f>SUMPRODUCT('דירוגי תכונות'!K19:N19,פרמטרים!$B$26:$E$26)/SUM(פרמטרים!$B$26:$E$26)</f>
        <v/>
      </c>
      <c r="Q19" s="11">
        <f>SUMPRODUCT('דירוגי תכונות'!O19:R19,פרמטרים!$B$26:$E$26)/SUM(פרמטרים!$B$26:$E$26)</f>
        <v/>
      </c>
      <c r="R19" s="11">
        <f>SUMPRODUCT('דירוגי תכונות'!S19:V19,פרמטרים!$B$26:$E$26)/SUM(פרמטרים!$B$26:$E$26)</f>
        <v/>
      </c>
      <c r="S19" s="11">
        <f>(N19*פרמטרים!$B$16+O19*פרמטרים!$B$17+P19*פרמטרים!$B$18+Q19*פרמטרים!$B$19+R19*פרמטרים!$B$20)/SUM(פרמטרים!$B$16:$B$20)</f>
        <v/>
      </c>
      <c r="T19" s="11">
        <f>'דירוגי נושאים'!C19</f>
        <v/>
      </c>
      <c r="U19" s="11">
        <f>(פרמטרים!$B$28*M19+(1-פרמטרים!$B$28)*S19)*(1-פרמטרים!$B$29*(5-T19)/4)</f>
        <v/>
      </c>
      <c r="V19" s="12">
        <f>(U19-1)/4*100</f>
        <v/>
      </c>
      <c r="W19" s="11">
        <f>U19+ROW()/10000000</f>
        <v/>
      </c>
      <c r="X19" s="10">
        <f>RANK(W19,$W$2:$W$52)</f>
        <v/>
      </c>
    </row>
    <row r="20">
      <c r="A20" s="10" t="n">
        <v>19</v>
      </c>
      <c r="B20" s="9">
        <f>'דירוגי נושאים'!B20</f>
        <v/>
      </c>
      <c r="C20" s="11">
        <f>SUMPRODUCT('דירוגי נושאים'!D20:H20,פרמטרים!$B$23:$F$23)/SUM(פרמטרים!$B$23:$F$23)</f>
        <v/>
      </c>
      <c r="D20" s="11">
        <f>SUMPRODUCT('דירוגי נושאים'!I20:M20,פרמטרים!$B$23:$F$23)/SUM(פרמטרים!$B$23:$F$23)</f>
        <v/>
      </c>
      <c r="E20" s="11">
        <f>SUMPRODUCT('דירוגי נושאים'!N20:R20,פרמטרים!$B$23:$F$23)/SUM(פרמטרים!$B$23:$F$23)</f>
        <v/>
      </c>
      <c r="F20" s="11">
        <f>SUMPRODUCT('דירוגי נושאים'!S20:W20,פרמטרים!$B$23:$F$23)/SUM(פרמטרים!$B$23:$F$23)</f>
        <v/>
      </c>
      <c r="G20" s="11">
        <f>SUMPRODUCT('דירוגי נושאים'!X20:AB20,פרמטרים!$B$23:$F$23)/SUM(פרמטרים!$B$23:$F$23)</f>
        <v/>
      </c>
      <c r="H20" s="11">
        <f>SUMPRODUCT('דירוגי נושאים'!AC20:AG20,פרמטרים!$B$23:$F$23)/SUM(פרמטרים!$B$23:$F$23)</f>
        <v/>
      </c>
      <c r="I20" s="11">
        <f>SUMPRODUCT('דירוגי נושאים'!AH20:AL20,פרמטרים!$B$23:$F$23)/SUM(פרמטרים!$B$23:$F$23)</f>
        <v/>
      </c>
      <c r="J20" s="11">
        <f>SUMPRODUCT('דירוגי נושאים'!AM20:AQ20,פרמטרים!$B$23:$F$23)/SUM(פרמטרים!$B$23:$F$23)</f>
        <v/>
      </c>
      <c r="K20" s="11">
        <f>SUMPRODUCT('דירוגי נושאים'!AR20:AV20,פרמטרים!$B$23:$F$23)/SUM(פרמטרים!$B$23:$F$23)</f>
        <v/>
      </c>
      <c r="L20" s="11">
        <f>SUMPRODUCT('דירוגי נושאים'!AW20:BA20,פרמטרים!$B$23:$F$23)/SUM(פרמטרים!$B$23:$F$23)</f>
        <v/>
      </c>
      <c r="M20" s="11">
        <f>(C20*פרמטרים!$B$4+D20*פרמטרים!$B$5+E20*פרמטרים!$B$6+F20*פרמטרים!$B$7+G20*פרמטרים!$B$8+H20*פרמטרים!$B$9+I20*פרמטרים!$B$10+J20*פרמטרים!$B$11+K20*פרמטרים!$B$12+L20*פרמטרים!$B$13)/SUM(פרמטרים!$B$4:$B$13)</f>
        <v/>
      </c>
      <c r="N20" s="11">
        <f>SUMPRODUCT('דירוגי תכונות'!C20:F20,פרמטרים!$B$26:$E$26)/SUM(פרמטרים!$B$26:$E$26)</f>
        <v/>
      </c>
      <c r="O20" s="11">
        <f>SUMPRODUCT('דירוגי תכונות'!G20:J20,פרמטרים!$B$26:$E$26)/SUM(פרמטרים!$B$26:$E$26)</f>
        <v/>
      </c>
      <c r="P20" s="11">
        <f>SUMPRODUCT('דירוגי תכונות'!K20:N20,פרמטרים!$B$26:$E$26)/SUM(פרמטרים!$B$26:$E$26)</f>
        <v/>
      </c>
      <c r="Q20" s="11">
        <f>SUMPRODUCT('דירוגי תכונות'!O20:R20,פרמטרים!$B$26:$E$26)/SUM(פרמטרים!$B$26:$E$26)</f>
        <v/>
      </c>
      <c r="R20" s="11">
        <f>SUMPRODUCT('דירוגי תכונות'!S20:V20,פרמטרים!$B$26:$E$26)/SUM(פרמטרים!$B$26:$E$26)</f>
        <v/>
      </c>
      <c r="S20" s="11">
        <f>(N20*פרמטרים!$B$16+O20*פרמטרים!$B$17+P20*פרמטרים!$B$18+Q20*פרמטרים!$B$19+R20*פרמטרים!$B$20)/SUM(פרמטרים!$B$16:$B$20)</f>
        <v/>
      </c>
      <c r="T20" s="11">
        <f>'דירוגי נושאים'!C20</f>
        <v/>
      </c>
      <c r="U20" s="11">
        <f>(פרמטרים!$B$28*M20+(1-פרמטרים!$B$28)*S20)*(1-פרמטרים!$B$29*(5-T20)/4)</f>
        <v/>
      </c>
      <c r="V20" s="12">
        <f>(U20-1)/4*100</f>
        <v/>
      </c>
      <c r="W20" s="11">
        <f>U20+ROW()/10000000</f>
        <v/>
      </c>
      <c r="X20" s="10">
        <f>RANK(W20,$W$2:$W$52)</f>
        <v/>
      </c>
    </row>
    <row r="21">
      <c r="A21" s="10" t="n">
        <v>20</v>
      </c>
      <c r="B21" s="9">
        <f>'דירוגי נושאים'!B21</f>
        <v/>
      </c>
      <c r="C21" s="11">
        <f>SUMPRODUCT('דירוגי נושאים'!D21:H21,פרמטרים!$B$23:$F$23)/SUM(פרמטרים!$B$23:$F$23)</f>
        <v/>
      </c>
      <c r="D21" s="11">
        <f>SUMPRODUCT('דירוגי נושאים'!I21:M21,פרמטרים!$B$23:$F$23)/SUM(פרמטרים!$B$23:$F$23)</f>
        <v/>
      </c>
      <c r="E21" s="11">
        <f>SUMPRODUCT('דירוגי נושאים'!N21:R21,פרמטרים!$B$23:$F$23)/SUM(פרמטרים!$B$23:$F$23)</f>
        <v/>
      </c>
      <c r="F21" s="11">
        <f>SUMPRODUCT('דירוגי נושאים'!S21:W21,פרמטרים!$B$23:$F$23)/SUM(פרמטרים!$B$23:$F$23)</f>
        <v/>
      </c>
      <c r="G21" s="11">
        <f>SUMPRODUCT('דירוגי נושאים'!X21:AB21,פרמטרים!$B$23:$F$23)/SUM(פרמטרים!$B$23:$F$23)</f>
        <v/>
      </c>
      <c r="H21" s="11">
        <f>SUMPRODUCT('דירוגי נושאים'!AC21:AG21,פרמטרים!$B$23:$F$23)/SUM(פרמטרים!$B$23:$F$23)</f>
        <v/>
      </c>
      <c r="I21" s="11">
        <f>SUMPRODUCT('דירוגי נושאים'!AH21:AL21,פרמטרים!$B$23:$F$23)/SUM(פרמטרים!$B$23:$F$23)</f>
        <v/>
      </c>
      <c r="J21" s="11">
        <f>SUMPRODUCT('דירוגי נושאים'!AM21:AQ21,פרמטרים!$B$23:$F$23)/SUM(פרמטרים!$B$23:$F$23)</f>
        <v/>
      </c>
      <c r="K21" s="11">
        <f>SUMPRODUCT('דירוגי נושאים'!AR21:AV21,פרמטרים!$B$23:$F$23)/SUM(פרמטרים!$B$23:$F$23)</f>
        <v/>
      </c>
      <c r="L21" s="11">
        <f>SUMPRODUCT('דירוגי נושאים'!AW21:BA21,פרמטרים!$B$23:$F$23)/SUM(פרמטרים!$B$23:$F$23)</f>
        <v/>
      </c>
      <c r="M21" s="11">
        <f>(C21*פרמטרים!$B$4+D21*פרמטרים!$B$5+E21*פרמטרים!$B$6+F21*פרמטרים!$B$7+G21*פרמטרים!$B$8+H21*פרמטרים!$B$9+I21*פרמטרים!$B$10+J21*פרמטרים!$B$11+K21*פרמטרים!$B$12+L21*פרמטרים!$B$13)/SUM(פרמטרים!$B$4:$B$13)</f>
        <v/>
      </c>
      <c r="N21" s="11">
        <f>SUMPRODUCT('דירוגי תכונות'!C21:F21,פרמטרים!$B$26:$E$26)/SUM(פרמטרים!$B$26:$E$26)</f>
        <v/>
      </c>
      <c r="O21" s="11">
        <f>SUMPRODUCT('דירוגי תכונות'!G21:J21,פרמטרים!$B$26:$E$26)/SUM(פרמטרים!$B$26:$E$26)</f>
        <v/>
      </c>
      <c r="P21" s="11">
        <f>SUMPRODUCT('דירוגי תכונות'!K21:N21,פרמטרים!$B$26:$E$26)/SUM(פרמטרים!$B$26:$E$26)</f>
        <v/>
      </c>
      <c r="Q21" s="11">
        <f>SUMPRODUCT('דירוגי תכונות'!O21:R21,פרמטרים!$B$26:$E$26)/SUM(פרמטרים!$B$26:$E$26)</f>
        <v/>
      </c>
      <c r="R21" s="11">
        <f>SUMPRODUCT('דירוגי תכונות'!S21:V21,פרמטרים!$B$26:$E$26)/SUM(פרמטרים!$B$26:$E$26)</f>
        <v/>
      </c>
      <c r="S21" s="11">
        <f>(N21*פרמטרים!$B$16+O21*פרמטרים!$B$17+P21*פרמטרים!$B$18+Q21*פרמטרים!$B$19+R21*פרמטרים!$B$20)/SUM(פרמטרים!$B$16:$B$20)</f>
        <v/>
      </c>
      <c r="T21" s="11">
        <f>'דירוגי נושאים'!C21</f>
        <v/>
      </c>
      <c r="U21" s="11">
        <f>(פרמטרים!$B$28*M21+(1-פרמטרים!$B$28)*S21)*(1-פרמטרים!$B$29*(5-T21)/4)</f>
        <v/>
      </c>
      <c r="V21" s="12">
        <f>(U21-1)/4*100</f>
        <v/>
      </c>
      <c r="W21" s="11">
        <f>U21+ROW()/10000000</f>
        <v/>
      </c>
      <c r="X21" s="10">
        <f>RANK(W21,$W$2:$W$52)</f>
        <v/>
      </c>
    </row>
    <row r="22">
      <c r="A22" s="10" t="n">
        <v>21</v>
      </c>
      <c r="B22" s="9">
        <f>'דירוגי נושאים'!B22</f>
        <v/>
      </c>
      <c r="C22" s="11">
        <f>SUMPRODUCT('דירוגי נושאים'!D22:H22,פרמטרים!$B$23:$F$23)/SUM(פרמטרים!$B$23:$F$23)</f>
        <v/>
      </c>
      <c r="D22" s="11">
        <f>SUMPRODUCT('דירוגי נושאים'!I22:M22,פרמטרים!$B$23:$F$23)/SUM(פרמטרים!$B$23:$F$23)</f>
        <v/>
      </c>
      <c r="E22" s="11">
        <f>SUMPRODUCT('דירוגי נושאים'!N22:R22,פרמטרים!$B$23:$F$23)/SUM(פרמטרים!$B$23:$F$23)</f>
        <v/>
      </c>
      <c r="F22" s="11">
        <f>SUMPRODUCT('דירוגי נושאים'!S22:W22,פרמטרים!$B$23:$F$23)/SUM(פרמטרים!$B$23:$F$23)</f>
        <v/>
      </c>
      <c r="G22" s="11">
        <f>SUMPRODUCT('דירוגי נושאים'!X22:AB22,פרמטרים!$B$23:$F$23)/SUM(פרמטרים!$B$23:$F$23)</f>
        <v/>
      </c>
      <c r="H22" s="11">
        <f>SUMPRODUCT('דירוגי נושאים'!AC22:AG22,פרמטרים!$B$23:$F$23)/SUM(פרמטרים!$B$23:$F$23)</f>
        <v/>
      </c>
      <c r="I22" s="11">
        <f>SUMPRODUCT('דירוגי נושאים'!AH22:AL22,פרמטרים!$B$23:$F$23)/SUM(פרמטרים!$B$23:$F$23)</f>
        <v/>
      </c>
      <c r="J22" s="11">
        <f>SUMPRODUCT('דירוגי נושאים'!AM22:AQ22,פרמטרים!$B$23:$F$23)/SUM(פרמטרים!$B$23:$F$23)</f>
        <v/>
      </c>
      <c r="K22" s="11">
        <f>SUMPRODUCT('דירוגי נושאים'!AR22:AV22,פרמטרים!$B$23:$F$23)/SUM(פרמטרים!$B$23:$F$23)</f>
        <v/>
      </c>
      <c r="L22" s="11">
        <f>SUMPRODUCT('דירוגי נושאים'!AW22:BA22,פרמטרים!$B$23:$F$23)/SUM(פרמטרים!$B$23:$F$23)</f>
        <v/>
      </c>
      <c r="M22" s="11">
        <f>(C22*פרמטרים!$B$4+D22*פרמטרים!$B$5+E22*פרמטרים!$B$6+F22*פרמטרים!$B$7+G22*פרמטרים!$B$8+H22*פרמטרים!$B$9+I22*פרמטרים!$B$10+J22*פרמטרים!$B$11+K22*פרמטרים!$B$12+L22*פרמטרים!$B$13)/SUM(פרמטרים!$B$4:$B$13)</f>
        <v/>
      </c>
      <c r="N22" s="11">
        <f>SUMPRODUCT('דירוגי תכונות'!C22:F22,פרמטרים!$B$26:$E$26)/SUM(פרמטרים!$B$26:$E$26)</f>
        <v/>
      </c>
      <c r="O22" s="11">
        <f>SUMPRODUCT('דירוגי תכונות'!G22:J22,פרמטרים!$B$26:$E$26)/SUM(פרמטרים!$B$26:$E$26)</f>
        <v/>
      </c>
      <c r="P22" s="11">
        <f>SUMPRODUCT('דירוגי תכונות'!K22:N22,פרמטרים!$B$26:$E$26)/SUM(פרמטרים!$B$26:$E$26)</f>
        <v/>
      </c>
      <c r="Q22" s="11">
        <f>SUMPRODUCT('דירוגי תכונות'!O22:R22,פרמטרים!$B$26:$E$26)/SUM(פרמטרים!$B$26:$E$26)</f>
        <v/>
      </c>
      <c r="R22" s="11">
        <f>SUMPRODUCT('דירוגי תכונות'!S22:V22,פרמטרים!$B$26:$E$26)/SUM(פרמטרים!$B$26:$E$26)</f>
        <v/>
      </c>
      <c r="S22" s="11">
        <f>(N22*פרמטרים!$B$16+O22*פרמטרים!$B$17+P22*פרמטרים!$B$18+Q22*פרמטרים!$B$19+R22*פרמטרים!$B$20)/SUM(פרמטרים!$B$16:$B$20)</f>
        <v/>
      </c>
      <c r="T22" s="11">
        <f>'דירוגי נושאים'!C22</f>
        <v/>
      </c>
      <c r="U22" s="11">
        <f>(פרמטרים!$B$28*M22+(1-פרמטרים!$B$28)*S22)*(1-פרמטרים!$B$29*(5-T22)/4)</f>
        <v/>
      </c>
      <c r="V22" s="12">
        <f>(U22-1)/4*100</f>
        <v/>
      </c>
      <c r="W22" s="11">
        <f>U22+ROW()/10000000</f>
        <v/>
      </c>
      <c r="X22" s="10">
        <f>RANK(W22,$W$2:$W$52)</f>
        <v/>
      </c>
    </row>
    <row r="23">
      <c r="A23" s="10" t="n">
        <v>22</v>
      </c>
      <c r="B23" s="9">
        <f>'דירוגי נושאים'!B23</f>
        <v/>
      </c>
      <c r="C23" s="11">
        <f>SUMPRODUCT('דירוגי נושאים'!D23:H23,פרמטרים!$B$23:$F$23)/SUM(פרמטרים!$B$23:$F$23)</f>
        <v/>
      </c>
      <c r="D23" s="11">
        <f>SUMPRODUCT('דירוגי נושאים'!I23:M23,פרמטרים!$B$23:$F$23)/SUM(פרמטרים!$B$23:$F$23)</f>
        <v/>
      </c>
      <c r="E23" s="11">
        <f>SUMPRODUCT('דירוגי נושאים'!N23:R23,פרמטרים!$B$23:$F$23)/SUM(פרמטרים!$B$23:$F$23)</f>
        <v/>
      </c>
      <c r="F23" s="11">
        <f>SUMPRODUCT('דירוגי נושאים'!S23:W23,פרמטרים!$B$23:$F$23)/SUM(פרמטרים!$B$23:$F$23)</f>
        <v/>
      </c>
      <c r="G23" s="11">
        <f>SUMPRODUCT('דירוגי נושאים'!X23:AB23,פרמטרים!$B$23:$F$23)/SUM(פרמטרים!$B$23:$F$23)</f>
        <v/>
      </c>
      <c r="H23" s="11">
        <f>SUMPRODUCT('דירוגי נושאים'!AC23:AG23,פרמטרים!$B$23:$F$23)/SUM(פרמטרים!$B$23:$F$23)</f>
        <v/>
      </c>
      <c r="I23" s="11">
        <f>SUMPRODUCT('דירוגי נושאים'!AH23:AL23,פרמטרים!$B$23:$F$23)/SUM(פרמטרים!$B$23:$F$23)</f>
        <v/>
      </c>
      <c r="J23" s="11">
        <f>SUMPRODUCT('דירוגי נושאים'!AM23:AQ23,פרמטרים!$B$23:$F$23)/SUM(פרמטרים!$B$23:$F$23)</f>
        <v/>
      </c>
      <c r="K23" s="11">
        <f>SUMPRODUCT('דירוגי נושאים'!AR23:AV23,פרמטרים!$B$23:$F$23)/SUM(פרמטרים!$B$23:$F$23)</f>
        <v/>
      </c>
      <c r="L23" s="11">
        <f>SUMPRODUCT('דירוגי נושאים'!AW23:BA23,פרמטרים!$B$23:$F$23)/SUM(פרמטרים!$B$23:$F$23)</f>
        <v/>
      </c>
      <c r="M23" s="11">
        <f>(C23*פרמטרים!$B$4+D23*פרמטרים!$B$5+E23*פרמטרים!$B$6+F23*פרמטרים!$B$7+G23*פרמטרים!$B$8+H23*פרמטרים!$B$9+I23*פרמטרים!$B$10+J23*פרמטרים!$B$11+K23*פרמטרים!$B$12+L23*פרמטרים!$B$13)/SUM(פרמטרים!$B$4:$B$13)</f>
        <v/>
      </c>
      <c r="N23" s="11">
        <f>SUMPRODUCT('דירוגי תכונות'!C23:F23,פרמטרים!$B$26:$E$26)/SUM(פרמטרים!$B$26:$E$26)</f>
        <v/>
      </c>
      <c r="O23" s="11">
        <f>SUMPRODUCT('דירוגי תכונות'!G23:J23,פרמטרים!$B$26:$E$26)/SUM(פרמטרים!$B$26:$E$26)</f>
        <v/>
      </c>
      <c r="P23" s="11">
        <f>SUMPRODUCT('דירוגי תכונות'!K23:N23,פרמטרים!$B$26:$E$26)/SUM(פרמטרים!$B$26:$E$26)</f>
        <v/>
      </c>
      <c r="Q23" s="11">
        <f>SUMPRODUCT('דירוגי תכונות'!O23:R23,פרמטרים!$B$26:$E$26)/SUM(פרמטרים!$B$26:$E$26)</f>
        <v/>
      </c>
      <c r="R23" s="11">
        <f>SUMPRODUCT('דירוגי תכונות'!S23:V23,פרמטרים!$B$26:$E$26)/SUM(פרמטרים!$B$26:$E$26)</f>
        <v/>
      </c>
      <c r="S23" s="11">
        <f>(N23*פרמטרים!$B$16+O23*פרמטרים!$B$17+P23*פרמטרים!$B$18+Q23*פרמטרים!$B$19+R23*פרמטרים!$B$20)/SUM(פרמטרים!$B$16:$B$20)</f>
        <v/>
      </c>
      <c r="T23" s="11">
        <f>'דירוגי נושאים'!C23</f>
        <v/>
      </c>
      <c r="U23" s="11">
        <f>(פרמטרים!$B$28*M23+(1-פרמטרים!$B$28)*S23)*(1-פרמטרים!$B$29*(5-T23)/4)</f>
        <v/>
      </c>
      <c r="V23" s="12">
        <f>(U23-1)/4*100</f>
        <v/>
      </c>
      <c r="W23" s="11">
        <f>U23+ROW()/10000000</f>
        <v/>
      </c>
      <c r="X23" s="10">
        <f>RANK(W23,$W$2:$W$52)</f>
        <v/>
      </c>
    </row>
    <row r="24">
      <c r="A24" s="10" t="n">
        <v>23</v>
      </c>
      <c r="B24" s="9">
        <f>'דירוגי נושאים'!B24</f>
        <v/>
      </c>
      <c r="C24" s="11">
        <f>SUMPRODUCT('דירוגי נושאים'!D24:H24,פרמטרים!$B$23:$F$23)/SUM(פרמטרים!$B$23:$F$23)</f>
        <v/>
      </c>
      <c r="D24" s="11">
        <f>SUMPRODUCT('דירוגי נושאים'!I24:M24,פרמטרים!$B$23:$F$23)/SUM(פרמטרים!$B$23:$F$23)</f>
        <v/>
      </c>
      <c r="E24" s="11">
        <f>SUMPRODUCT('דירוגי נושאים'!N24:R24,פרמטרים!$B$23:$F$23)/SUM(פרמטרים!$B$23:$F$23)</f>
        <v/>
      </c>
      <c r="F24" s="11">
        <f>SUMPRODUCT('דירוגי נושאים'!S24:W24,פרמטרים!$B$23:$F$23)/SUM(פרמטרים!$B$23:$F$23)</f>
        <v/>
      </c>
      <c r="G24" s="11">
        <f>SUMPRODUCT('דירוגי נושאים'!X24:AB24,פרמטרים!$B$23:$F$23)/SUM(פרמטרים!$B$23:$F$23)</f>
        <v/>
      </c>
      <c r="H24" s="11">
        <f>SUMPRODUCT('דירוגי נושאים'!AC24:AG24,פרמטרים!$B$23:$F$23)/SUM(פרמטרים!$B$23:$F$23)</f>
        <v/>
      </c>
      <c r="I24" s="11">
        <f>SUMPRODUCT('דירוגי נושאים'!AH24:AL24,פרמטרים!$B$23:$F$23)/SUM(פרמטרים!$B$23:$F$23)</f>
        <v/>
      </c>
      <c r="J24" s="11">
        <f>SUMPRODUCT('דירוגי נושאים'!AM24:AQ24,פרמטרים!$B$23:$F$23)/SUM(פרמטרים!$B$23:$F$23)</f>
        <v/>
      </c>
      <c r="K24" s="11">
        <f>SUMPRODUCT('דירוגי נושאים'!AR24:AV24,פרמטרים!$B$23:$F$23)/SUM(פרמטרים!$B$23:$F$23)</f>
        <v/>
      </c>
      <c r="L24" s="11">
        <f>SUMPRODUCT('דירוגי נושאים'!AW24:BA24,פרמטרים!$B$23:$F$23)/SUM(פרמטרים!$B$23:$F$23)</f>
        <v/>
      </c>
      <c r="M24" s="11">
        <f>(C24*פרמטרים!$B$4+D24*פרמטרים!$B$5+E24*פרמטרים!$B$6+F24*פרמטרים!$B$7+G24*פרמטרים!$B$8+H24*פרמטרים!$B$9+I24*פרמטרים!$B$10+J24*פרמטרים!$B$11+K24*פרמטרים!$B$12+L24*פרמטרים!$B$13)/SUM(פרמטרים!$B$4:$B$13)</f>
        <v/>
      </c>
      <c r="N24" s="11">
        <f>SUMPRODUCT('דירוגי תכונות'!C24:F24,פרמטרים!$B$26:$E$26)/SUM(פרמטרים!$B$26:$E$26)</f>
        <v/>
      </c>
      <c r="O24" s="11">
        <f>SUMPRODUCT('דירוגי תכונות'!G24:J24,פרמטרים!$B$26:$E$26)/SUM(פרמטרים!$B$26:$E$26)</f>
        <v/>
      </c>
      <c r="P24" s="11">
        <f>SUMPRODUCT('דירוגי תכונות'!K24:N24,פרמטרים!$B$26:$E$26)/SUM(פרמטרים!$B$26:$E$26)</f>
        <v/>
      </c>
      <c r="Q24" s="11">
        <f>SUMPRODUCT('דירוגי תכונות'!O24:R24,פרמטרים!$B$26:$E$26)/SUM(פרמטרים!$B$26:$E$26)</f>
        <v/>
      </c>
      <c r="R24" s="11">
        <f>SUMPRODUCT('דירוגי תכונות'!S24:V24,פרמטרים!$B$26:$E$26)/SUM(פרמטרים!$B$26:$E$26)</f>
        <v/>
      </c>
      <c r="S24" s="11">
        <f>(N24*פרמטרים!$B$16+O24*פרמטרים!$B$17+P24*פרמטרים!$B$18+Q24*פרמטרים!$B$19+R24*פרמטרים!$B$20)/SUM(פרמטרים!$B$16:$B$20)</f>
        <v/>
      </c>
      <c r="T24" s="11">
        <f>'דירוגי נושאים'!C24</f>
        <v/>
      </c>
      <c r="U24" s="11">
        <f>(פרמטרים!$B$28*M24+(1-פרמטרים!$B$28)*S24)*(1-פרמטרים!$B$29*(5-T24)/4)</f>
        <v/>
      </c>
      <c r="V24" s="12">
        <f>(U24-1)/4*100</f>
        <v/>
      </c>
      <c r="W24" s="11">
        <f>U24+ROW()/10000000</f>
        <v/>
      </c>
      <c r="X24" s="10">
        <f>RANK(W24,$W$2:$W$52)</f>
        <v/>
      </c>
    </row>
    <row r="25">
      <c r="A25" s="10" t="n">
        <v>24</v>
      </c>
      <c r="B25" s="9">
        <f>'דירוגי נושאים'!B25</f>
        <v/>
      </c>
      <c r="C25" s="11">
        <f>SUMPRODUCT('דירוגי נושאים'!D25:H25,פרמטרים!$B$23:$F$23)/SUM(פרמטרים!$B$23:$F$23)</f>
        <v/>
      </c>
      <c r="D25" s="11">
        <f>SUMPRODUCT('דירוגי נושאים'!I25:M25,פרמטרים!$B$23:$F$23)/SUM(פרמטרים!$B$23:$F$23)</f>
        <v/>
      </c>
      <c r="E25" s="11">
        <f>SUMPRODUCT('דירוגי נושאים'!N25:R25,פרמטרים!$B$23:$F$23)/SUM(פרמטרים!$B$23:$F$23)</f>
        <v/>
      </c>
      <c r="F25" s="11">
        <f>SUMPRODUCT('דירוגי נושאים'!S25:W25,פרמטרים!$B$23:$F$23)/SUM(פרמטרים!$B$23:$F$23)</f>
        <v/>
      </c>
      <c r="G25" s="11">
        <f>SUMPRODUCT('דירוגי נושאים'!X25:AB25,פרמטרים!$B$23:$F$23)/SUM(פרמטרים!$B$23:$F$23)</f>
        <v/>
      </c>
      <c r="H25" s="11">
        <f>SUMPRODUCT('דירוגי נושאים'!AC25:AG25,פרמטרים!$B$23:$F$23)/SUM(פרמטרים!$B$23:$F$23)</f>
        <v/>
      </c>
      <c r="I25" s="11">
        <f>SUMPRODUCT('דירוגי נושאים'!AH25:AL25,פרמטרים!$B$23:$F$23)/SUM(פרמטרים!$B$23:$F$23)</f>
        <v/>
      </c>
      <c r="J25" s="11">
        <f>SUMPRODUCT('דירוגי נושאים'!AM25:AQ25,פרמטרים!$B$23:$F$23)/SUM(פרמטרים!$B$23:$F$23)</f>
        <v/>
      </c>
      <c r="K25" s="11">
        <f>SUMPRODUCT('דירוגי נושאים'!AR25:AV25,פרמטרים!$B$23:$F$23)/SUM(פרמטרים!$B$23:$F$23)</f>
        <v/>
      </c>
      <c r="L25" s="11">
        <f>SUMPRODUCT('דירוגי נושאים'!AW25:BA25,פרמטרים!$B$23:$F$23)/SUM(פרמטרים!$B$23:$F$23)</f>
        <v/>
      </c>
      <c r="M25" s="11">
        <f>(C25*פרמטרים!$B$4+D25*פרמטרים!$B$5+E25*פרמטרים!$B$6+F25*פרמטרים!$B$7+G25*פרמטרים!$B$8+H25*פרמטרים!$B$9+I25*פרמטרים!$B$10+J25*פרמטרים!$B$11+K25*פרמטרים!$B$12+L25*פרמטרים!$B$13)/SUM(פרמטרים!$B$4:$B$13)</f>
        <v/>
      </c>
      <c r="N25" s="11">
        <f>SUMPRODUCT('דירוגי תכונות'!C25:F25,פרמטרים!$B$26:$E$26)/SUM(פרמטרים!$B$26:$E$26)</f>
        <v/>
      </c>
      <c r="O25" s="11">
        <f>SUMPRODUCT('דירוגי תכונות'!G25:J25,פרמטרים!$B$26:$E$26)/SUM(פרמטרים!$B$26:$E$26)</f>
        <v/>
      </c>
      <c r="P25" s="11">
        <f>SUMPRODUCT('דירוגי תכונות'!K25:N25,פרמטרים!$B$26:$E$26)/SUM(פרמטרים!$B$26:$E$26)</f>
        <v/>
      </c>
      <c r="Q25" s="11">
        <f>SUMPRODUCT('דירוגי תכונות'!O25:R25,פרמטרים!$B$26:$E$26)/SUM(פרמטרים!$B$26:$E$26)</f>
        <v/>
      </c>
      <c r="R25" s="11">
        <f>SUMPRODUCT('דירוגי תכונות'!S25:V25,פרמטרים!$B$26:$E$26)/SUM(פרמטרים!$B$26:$E$26)</f>
        <v/>
      </c>
      <c r="S25" s="11">
        <f>(N25*פרמטרים!$B$16+O25*פרמטרים!$B$17+P25*פרמטרים!$B$18+Q25*פרמטרים!$B$19+R25*פרמטרים!$B$20)/SUM(פרמטרים!$B$16:$B$20)</f>
        <v/>
      </c>
      <c r="T25" s="11">
        <f>'דירוגי נושאים'!C25</f>
        <v/>
      </c>
      <c r="U25" s="11">
        <f>(פרמטרים!$B$28*M25+(1-פרמטרים!$B$28)*S25)*(1-פרמטרים!$B$29*(5-T25)/4)</f>
        <v/>
      </c>
      <c r="V25" s="12">
        <f>(U25-1)/4*100</f>
        <v/>
      </c>
      <c r="W25" s="11">
        <f>U25+ROW()/10000000</f>
        <v/>
      </c>
      <c r="X25" s="10">
        <f>RANK(W25,$W$2:$W$52)</f>
        <v/>
      </c>
    </row>
    <row r="26">
      <c r="A26" s="10" t="n">
        <v>25</v>
      </c>
      <c r="B26" s="9">
        <f>'דירוגי נושאים'!B26</f>
        <v/>
      </c>
      <c r="C26" s="11">
        <f>SUMPRODUCT('דירוגי נושאים'!D26:H26,פרמטרים!$B$23:$F$23)/SUM(פרמטרים!$B$23:$F$23)</f>
        <v/>
      </c>
      <c r="D26" s="11">
        <f>SUMPRODUCT('דירוגי נושאים'!I26:M26,פרמטרים!$B$23:$F$23)/SUM(פרמטרים!$B$23:$F$23)</f>
        <v/>
      </c>
      <c r="E26" s="11">
        <f>SUMPRODUCT('דירוגי נושאים'!N26:R26,פרמטרים!$B$23:$F$23)/SUM(פרמטרים!$B$23:$F$23)</f>
        <v/>
      </c>
      <c r="F26" s="11">
        <f>SUMPRODUCT('דירוגי נושאים'!S26:W26,פרמטרים!$B$23:$F$23)/SUM(פרמטרים!$B$23:$F$23)</f>
        <v/>
      </c>
      <c r="G26" s="11">
        <f>SUMPRODUCT('דירוגי נושאים'!X26:AB26,פרמטרים!$B$23:$F$23)/SUM(פרמטרים!$B$23:$F$23)</f>
        <v/>
      </c>
      <c r="H26" s="11">
        <f>SUMPRODUCT('דירוגי נושאים'!AC26:AG26,פרמטרים!$B$23:$F$23)/SUM(פרמטרים!$B$23:$F$23)</f>
        <v/>
      </c>
      <c r="I26" s="11">
        <f>SUMPRODUCT('דירוגי נושאים'!AH26:AL26,פרמטרים!$B$23:$F$23)/SUM(פרמטרים!$B$23:$F$23)</f>
        <v/>
      </c>
      <c r="J26" s="11">
        <f>SUMPRODUCT('דירוגי נושאים'!AM26:AQ26,פרמטרים!$B$23:$F$23)/SUM(פרמטרים!$B$23:$F$23)</f>
        <v/>
      </c>
      <c r="K26" s="11">
        <f>SUMPRODUCT('דירוגי נושאים'!AR26:AV26,פרמטרים!$B$23:$F$23)/SUM(פרמטרים!$B$23:$F$23)</f>
        <v/>
      </c>
      <c r="L26" s="11">
        <f>SUMPRODUCT('דירוגי נושאים'!AW26:BA26,פרמטרים!$B$23:$F$23)/SUM(פרמטרים!$B$23:$F$23)</f>
        <v/>
      </c>
      <c r="M26" s="11">
        <f>(C26*פרמטרים!$B$4+D26*פרמטרים!$B$5+E26*פרמטרים!$B$6+F26*פרמטרים!$B$7+G26*פרמטרים!$B$8+H26*פרמטרים!$B$9+I26*פרמטרים!$B$10+J26*פרמטרים!$B$11+K26*פרמטרים!$B$12+L26*פרמטרים!$B$13)/SUM(פרמטרים!$B$4:$B$13)</f>
        <v/>
      </c>
      <c r="N26" s="11">
        <f>SUMPRODUCT('דירוגי תכונות'!C26:F26,פרמטרים!$B$26:$E$26)/SUM(פרמטרים!$B$26:$E$26)</f>
        <v/>
      </c>
      <c r="O26" s="11">
        <f>SUMPRODUCT('דירוגי תכונות'!G26:J26,פרמטרים!$B$26:$E$26)/SUM(פרמטרים!$B$26:$E$26)</f>
        <v/>
      </c>
      <c r="P26" s="11">
        <f>SUMPRODUCT('דירוגי תכונות'!K26:N26,פרמטרים!$B$26:$E$26)/SUM(פרמטרים!$B$26:$E$26)</f>
        <v/>
      </c>
      <c r="Q26" s="11">
        <f>SUMPRODUCT('דירוגי תכונות'!O26:R26,פרמטרים!$B$26:$E$26)/SUM(פרמטרים!$B$26:$E$26)</f>
        <v/>
      </c>
      <c r="R26" s="11">
        <f>SUMPRODUCT('דירוגי תכונות'!S26:V26,פרמטרים!$B$26:$E$26)/SUM(פרמטרים!$B$26:$E$26)</f>
        <v/>
      </c>
      <c r="S26" s="11">
        <f>(N26*פרמטרים!$B$16+O26*פרמטרים!$B$17+P26*פרמטרים!$B$18+Q26*פרמטרים!$B$19+R26*פרמטרים!$B$20)/SUM(פרמטרים!$B$16:$B$20)</f>
        <v/>
      </c>
      <c r="T26" s="11">
        <f>'דירוגי נושאים'!C26</f>
        <v/>
      </c>
      <c r="U26" s="11">
        <f>(פרמטרים!$B$28*M26+(1-פרמטרים!$B$28)*S26)*(1-פרמטרים!$B$29*(5-T26)/4)</f>
        <v/>
      </c>
      <c r="V26" s="12">
        <f>(U26-1)/4*100</f>
        <v/>
      </c>
      <c r="W26" s="11">
        <f>U26+ROW()/10000000</f>
        <v/>
      </c>
      <c r="X26" s="10">
        <f>RANK(W26,$W$2:$W$52)</f>
        <v/>
      </c>
    </row>
    <row r="27">
      <c r="A27" s="10" t="n">
        <v>26</v>
      </c>
      <c r="B27" s="9">
        <f>'דירוגי נושאים'!B27</f>
        <v/>
      </c>
      <c r="C27" s="11">
        <f>SUMPRODUCT('דירוגי נושאים'!D27:H27,פרמטרים!$B$23:$F$23)/SUM(פרמטרים!$B$23:$F$23)</f>
        <v/>
      </c>
      <c r="D27" s="11">
        <f>SUMPRODUCT('דירוגי נושאים'!I27:M27,פרמטרים!$B$23:$F$23)/SUM(פרמטרים!$B$23:$F$23)</f>
        <v/>
      </c>
      <c r="E27" s="11">
        <f>SUMPRODUCT('דירוגי נושאים'!N27:R27,פרמטרים!$B$23:$F$23)/SUM(פרמטרים!$B$23:$F$23)</f>
        <v/>
      </c>
      <c r="F27" s="11">
        <f>SUMPRODUCT('דירוגי נושאים'!S27:W27,פרמטרים!$B$23:$F$23)/SUM(פרמטרים!$B$23:$F$23)</f>
        <v/>
      </c>
      <c r="G27" s="11">
        <f>SUMPRODUCT('דירוגי נושאים'!X27:AB27,פרמטרים!$B$23:$F$23)/SUM(פרמטרים!$B$23:$F$23)</f>
        <v/>
      </c>
      <c r="H27" s="11">
        <f>SUMPRODUCT('דירוגי נושאים'!AC27:AG27,פרמטרים!$B$23:$F$23)/SUM(פרמטרים!$B$23:$F$23)</f>
        <v/>
      </c>
      <c r="I27" s="11">
        <f>SUMPRODUCT('דירוגי נושאים'!AH27:AL27,פרמטרים!$B$23:$F$23)/SUM(פרמטרים!$B$23:$F$23)</f>
        <v/>
      </c>
      <c r="J27" s="11">
        <f>SUMPRODUCT('דירוגי נושאים'!AM27:AQ27,פרמטרים!$B$23:$F$23)/SUM(פרמטרים!$B$23:$F$23)</f>
        <v/>
      </c>
      <c r="K27" s="11">
        <f>SUMPRODUCT('דירוגי נושאים'!AR27:AV27,פרמטרים!$B$23:$F$23)/SUM(פרמטרים!$B$23:$F$23)</f>
        <v/>
      </c>
      <c r="L27" s="11">
        <f>SUMPRODUCT('דירוגי נושאים'!AW27:BA27,פרמטרים!$B$23:$F$23)/SUM(פרמטרים!$B$23:$F$23)</f>
        <v/>
      </c>
      <c r="M27" s="11">
        <f>(C27*פרמטרים!$B$4+D27*פרמטרים!$B$5+E27*פרמטרים!$B$6+F27*פרמטרים!$B$7+G27*פרמטרים!$B$8+H27*פרמטרים!$B$9+I27*פרמטרים!$B$10+J27*פרמטרים!$B$11+K27*פרמטרים!$B$12+L27*פרמטרים!$B$13)/SUM(פרמטרים!$B$4:$B$13)</f>
        <v/>
      </c>
      <c r="N27" s="11">
        <f>SUMPRODUCT('דירוגי תכונות'!C27:F27,פרמטרים!$B$26:$E$26)/SUM(פרמטרים!$B$26:$E$26)</f>
        <v/>
      </c>
      <c r="O27" s="11">
        <f>SUMPRODUCT('דירוגי תכונות'!G27:J27,פרמטרים!$B$26:$E$26)/SUM(פרמטרים!$B$26:$E$26)</f>
        <v/>
      </c>
      <c r="P27" s="11">
        <f>SUMPRODUCT('דירוגי תכונות'!K27:N27,פרמטרים!$B$26:$E$26)/SUM(פרמטרים!$B$26:$E$26)</f>
        <v/>
      </c>
      <c r="Q27" s="11">
        <f>SUMPRODUCT('דירוגי תכונות'!O27:R27,פרמטרים!$B$26:$E$26)/SUM(פרמטרים!$B$26:$E$26)</f>
        <v/>
      </c>
      <c r="R27" s="11">
        <f>SUMPRODUCT('דירוגי תכונות'!S27:V27,פרמטרים!$B$26:$E$26)/SUM(פרמטרים!$B$26:$E$26)</f>
        <v/>
      </c>
      <c r="S27" s="11">
        <f>(N27*פרמטרים!$B$16+O27*פרמטרים!$B$17+P27*פרמטרים!$B$18+Q27*פרמטרים!$B$19+R27*פרמטרים!$B$20)/SUM(פרמטרים!$B$16:$B$20)</f>
        <v/>
      </c>
      <c r="T27" s="11">
        <f>'דירוגי נושאים'!C27</f>
        <v/>
      </c>
      <c r="U27" s="11">
        <f>(פרמטרים!$B$28*M27+(1-פרמטרים!$B$28)*S27)*(1-פרמטרים!$B$29*(5-T27)/4)</f>
        <v/>
      </c>
      <c r="V27" s="12">
        <f>(U27-1)/4*100</f>
        <v/>
      </c>
      <c r="W27" s="11">
        <f>U27+ROW()/10000000</f>
        <v/>
      </c>
      <c r="X27" s="10">
        <f>RANK(W27,$W$2:$W$52)</f>
        <v/>
      </c>
    </row>
    <row r="28">
      <c r="A28" s="10" t="n">
        <v>27</v>
      </c>
      <c r="B28" s="9">
        <f>'דירוגי נושאים'!B28</f>
        <v/>
      </c>
      <c r="C28" s="11">
        <f>SUMPRODUCT('דירוגי נושאים'!D28:H28,פרמטרים!$B$23:$F$23)/SUM(פרמטרים!$B$23:$F$23)</f>
        <v/>
      </c>
      <c r="D28" s="11">
        <f>SUMPRODUCT('דירוגי נושאים'!I28:M28,פרמטרים!$B$23:$F$23)/SUM(פרמטרים!$B$23:$F$23)</f>
        <v/>
      </c>
      <c r="E28" s="11">
        <f>SUMPRODUCT('דירוגי נושאים'!N28:R28,פרמטרים!$B$23:$F$23)/SUM(פרמטרים!$B$23:$F$23)</f>
        <v/>
      </c>
      <c r="F28" s="11">
        <f>SUMPRODUCT('דירוגי נושאים'!S28:W28,פרמטרים!$B$23:$F$23)/SUM(פרמטרים!$B$23:$F$23)</f>
        <v/>
      </c>
      <c r="G28" s="11">
        <f>SUMPRODUCT('דירוגי נושאים'!X28:AB28,פרמטרים!$B$23:$F$23)/SUM(פרמטרים!$B$23:$F$23)</f>
        <v/>
      </c>
      <c r="H28" s="11">
        <f>SUMPRODUCT('דירוגי נושאים'!AC28:AG28,פרמטרים!$B$23:$F$23)/SUM(פרמטרים!$B$23:$F$23)</f>
        <v/>
      </c>
      <c r="I28" s="11">
        <f>SUMPRODUCT('דירוגי נושאים'!AH28:AL28,פרמטרים!$B$23:$F$23)/SUM(פרמטרים!$B$23:$F$23)</f>
        <v/>
      </c>
      <c r="J28" s="11">
        <f>SUMPRODUCT('דירוגי נושאים'!AM28:AQ28,פרמטרים!$B$23:$F$23)/SUM(פרמטרים!$B$23:$F$23)</f>
        <v/>
      </c>
      <c r="K28" s="11">
        <f>SUMPRODUCT('דירוגי נושאים'!AR28:AV28,פרמטרים!$B$23:$F$23)/SUM(פרמטרים!$B$23:$F$23)</f>
        <v/>
      </c>
      <c r="L28" s="11">
        <f>SUMPRODUCT('דירוגי נושאים'!AW28:BA28,פרמטרים!$B$23:$F$23)/SUM(פרמטרים!$B$23:$F$23)</f>
        <v/>
      </c>
      <c r="M28" s="11">
        <f>(C28*פרמטרים!$B$4+D28*פרמטרים!$B$5+E28*פרמטרים!$B$6+F28*פרמטרים!$B$7+G28*פרמטרים!$B$8+H28*פרמטרים!$B$9+I28*פרמטרים!$B$10+J28*פרמטרים!$B$11+K28*פרמטרים!$B$12+L28*פרמטרים!$B$13)/SUM(פרמטרים!$B$4:$B$13)</f>
        <v/>
      </c>
      <c r="N28" s="11">
        <f>SUMPRODUCT('דירוגי תכונות'!C28:F28,פרמטרים!$B$26:$E$26)/SUM(פרמטרים!$B$26:$E$26)</f>
        <v/>
      </c>
      <c r="O28" s="11">
        <f>SUMPRODUCT('דירוגי תכונות'!G28:J28,פרמטרים!$B$26:$E$26)/SUM(פרמטרים!$B$26:$E$26)</f>
        <v/>
      </c>
      <c r="P28" s="11">
        <f>SUMPRODUCT('דירוגי תכונות'!K28:N28,פרמטרים!$B$26:$E$26)/SUM(פרמטרים!$B$26:$E$26)</f>
        <v/>
      </c>
      <c r="Q28" s="11">
        <f>SUMPRODUCT('דירוגי תכונות'!O28:R28,פרמטרים!$B$26:$E$26)/SUM(פרמטרים!$B$26:$E$26)</f>
        <v/>
      </c>
      <c r="R28" s="11">
        <f>SUMPRODUCT('דירוגי תכונות'!S28:V28,פרמטרים!$B$26:$E$26)/SUM(פרמטרים!$B$26:$E$26)</f>
        <v/>
      </c>
      <c r="S28" s="11">
        <f>(N28*פרמטרים!$B$16+O28*פרמטרים!$B$17+P28*פרמטרים!$B$18+Q28*פרמטרים!$B$19+R28*פרמטרים!$B$20)/SUM(פרמטרים!$B$16:$B$20)</f>
        <v/>
      </c>
      <c r="T28" s="11">
        <f>'דירוגי נושאים'!C28</f>
        <v/>
      </c>
      <c r="U28" s="11">
        <f>(פרמטרים!$B$28*M28+(1-פרמטרים!$B$28)*S28)*(1-פרמטרים!$B$29*(5-T28)/4)</f>
        <v/>
      </c>
      <c r="V28" s="12">
        <f>(U28-1)/4*100</f>
        <v/>
      </c>
      <c r="W28" s="11">
        <f>U28+ROW()/10000000</f>
        <v/>
      </c>
      <c r="X28" s="10">
        <f>RANK(W28,$W$2:$W$52)</f>
        <v/>
      </c>
    </row>
    <row r="29">
      <c r="A29" s="10" t="n">
        <v>28</v>
      </c>
      <c r="B29" s="9">
        <f>'דירוגי נושאים'!B29</f>
        <v/>
      </c>
      <c r="C29" s="11">
        <f>SUMPRODUCT('דירוגי נושאים'!D29:H29,פרמטרים!$B$23:$F$23)/SUM(פרמטרים!$B$23:$F$23)</f>
        <v/>
      </c>
      <c r="D29" s="11">
        <f>SUMPRODUCT('דירוגי נושאים'!I29:M29,פרמטרים!$B$23:$F$23)/SUM(פרמטרים!$B$23:$F$23)</f>
        <v/>
      </c>
      <c r="E29" s="11">
        <f>SUMPRODUCT('דירוגי נושאים'!N29:R29,פרמטרים!$B$23:$F$23)/SUM(פרמטרים!$B$23:$F$23)</f>
        <v/>
      </c>
      <c r="F29" s="11">
        <f>SUMPRODUCT('דירוגי נושאים'!S29:W29,פרמטרים!$B$23:$F$23)/SUM(פרמטרים!$B$23:$F$23)</f>
        <v/>
      </c>
      <c r="G29" s="11">
        <f>SUMPRODUCT('דירוגי נושאים'!X29:AB29,פרמטרים!$B$23:$F$23)/SUM(פרמטרים!$B$23:$F$23)</f>
        <v/>
      </c>
      <c r="H29" s="11">
        <f>SUMPRODUCT('דירוגי נושאים'!AC29:AG29,פרמטרים!$B$23:$F$23)/SUM(פרמטרים!$B$23:$F$23)</f>
        <v/>
      </c>
      <c r="I29" s="11">
        <f>SUMPRODUCT('דירוגי נושאים'!AH29:AL29,פרמטרים!$B$23:$F$23)/SUM(פרמטרים!$B$23:$F$23)</f>
        <v/>
      </c>
      <c r="J29" s="11">
        <f>SUMPRODUCT('דירוגי נושאים'!AM29:AQ29,פרמטרים!$B$23:$F$23)/SUM(פרמטרים!$B$23:$F$23)</f>
        <v/>
      </c>
      <c r="K29" s="11">
        <f>SUMPRODUCT('דירוגי נושאים'!AR29:AV29,פרמטרים!$B$23:$F$23)/SUM(פרמטרים!$B$23:$F$23)</f>
        <v/>
      </c>
      <c r="L29" s="11">
        <f>SUMPRODUCT('דירוגי נושאים'!AW29:BA29,פרמטרים!$B$23:$F$23)/SUM(פרמטרים!$B$23:$F$23)</f>
        <v/>
      </c>
      <c r="M29" s="11">
        <f>(C29*פרמטרים!$B$4+D29*פרמטרים!$B$5+E29*פרמטרים!$B$6+F29*פרמטרים!$B$7+G29*פרמטרים!$B$8+H29*פרמטרים!$B$9+I29*פרמטרים!$B$10+J29*פרמטרים!$B$11+K29*פרמטרים!$B$12+L29*פרמטרים!$B$13)/SUM(פרמטרים!$B$4:$B$13)</f>
        <v/>
      </c>
      <c r="N29" s="11">
        <f>SUMPRODUCT('דירוגי תכונות'!C29:F29,פרמטרים!$B$26:$E$26)/SUM(פרמטרים!$B$26:$E$26)</f>
        <v/>
      </c>
      <c r="O29" s="11">
        <f>SUMPRODUCT('דירוגי תכונות'!G29:J29,פרמטרים!$B$26:$E$26)/SUM(פרמטרים!$B$26:$E$26)</f>
        <v/>
      </c>
      <c r="P29" s="11">
        <f>SUMPRODUCT('דירוגי תכונות'!K29:N29,פרמטרים!$B$26:$E$26)/SUM(פרמטרים!$B$26:$E$26)</f>
        <v/>
      </c>
      <c r="Q29" s="11">
        <f>SUMPRODUCT('דירוגי תכונות'!O29:R29,פרמטרים!$B$26:$E$26)/SUM(פרמטרים!$B$26:$E$26)</f>
        <v/>
      </c>
      <c r="R29" s="11">
        <f>SUMPRODUCT('דירוגי תכונות'!S29:V29,פרמטרים!$B$26:$E$26)/SUM(פרמטרים!$B$26:$E$26)</f>
        <v/>
      </c>
      <c r="S29" s="11">
        <f>(N29*פרמטרים!$B$16+O29*פרמטרים!$B$17+P29*פרמטרים!$B$18+Q29*פרמטרים!$B$19+R29*פרמטרים!$B$20)/SUM(פרמטרים!$B$16:$B$20)</f>
        <v/>
      </c>
      <c r="T29" s="11">
        <f>'דירוגי נושאים'!C29</f>
        <v/>
      </c>
      <c r="U29" s="11">
        <f>(פרמטרים!$B$28*M29+(1-פרמטרים!$B$28)*S29)*(1-פרמטרים!$B$29*(5-T29)/4)</f>
        <v/>
      </c>
      <c r="V29" s="12">
        <f>(U29-1)/4*100</f>
        <v/>
      </c>
      <c r="W29" s="11">
        <f>U29+ROW()/10000000</f>
        <v/>
      </c>
      <c r="X29" s="10">
        <f>RANK(W29,$W$2:$W$52)</f>
        <v/>
      </c>
    </row>
    <row r="30">
      <c r="A30" s="10" t="n">
        <v>29</v>
      </c>
      <c r="B30" s="9">
        <f>'דירוגי נושאים'!B30</f>
        <v/>
      </c>
      <c r="C30" s="11">
        <f>SUMPRODUCT('דירוגי נושאים'!D30:H30,פרמטרים!$B$23:$F$23)/SUM(פרמטרים!$B$23:$F$23)</f>
        <v/>
      </c>
      <c r="D30" s="11">
        <f>SUMPRODUCT('דירוגי נושאים'!I30:M30,פרמטרים!$B$23:$F$23)/SUM(פרמטרים!$B$23:$F$23)</f>
        <v/>
      </c>
      <c r="E30" s="11">
        <f>SUMPRODUCT('דירוגי נושאים'!N30:R30,פרמטרים!$B$23:$F$23)/SUM(פרמטרים!$B$23:$F$23)</f>
        <v/>
      </c>
      <c r="F30" s="11">
        <f>SUMPRODUCT('דירוגי נושאים'!S30:W30,פרמטרים!$B$23:$F$23)/SUM(פרמטרים!$B$23:$F$23)</f>
        <v/>
      </c>
      <c r="G30" s="11">
        <f>SUMPRODUCT('דירוגי נושאים'!X30:AB30,פרמטרים!$B$23:$F$23)/SUM(פרמטרים!$B$23:$F$23)</f>
        <v/>
      </c>
      <c r="H30" s="11">
        <f>SUMPRODUCT('דירוגי נושאים'!AC30:AG30,פרמטרים!$B$23:$F$23)/SUM(פרמטרים!$B$23:$F$23)</f>
        <v/>
      </c>
      <c r="I30" s="11">
        <f>SUMPRODUCT('דירוגי נושאים'!AH30:AL30,פרמטרים!$B$23:$F$23)/SUM(פרמטרים!$B$23:$F$23)</f>
        <v/>
      </c>
      <c r="J30" s="11">
        <f>SUMPRODUCT('דירוגי נושאים'!AM30:AQ30,פרמטרים!$B$23:$F$23)/SUM(פרמטרים!$B$23:$F$23)</f>
        <v/>
      </c>
      <c r="K30" s="11">
        <f>SUMPRODUCT('דירוגי נושאים'!AR30:AV30,פרמטרים!$B$23:$F$23)/SUM(פרמטרים!$B$23:$F$23)</f>
        <v/>
      </c>
      <c r="L30" s="11">
        <f>SUMPRODUCT('דירוגי נושאים'!AW30:BA30,פרמטרים!$B$23:$F$23)/SUM(פרמטרים!$B$23:$F$23)</f>
        <v/>
      </c>
      <c r="M30" s="11">
        <f>(C30*פרמטרים!$B$4+D30*פרמטרים!$B$5+E30*פרמטרים!$B$6+F30*פרמטרים!$B$7+G30*פרמטרים!$B$8+H30*פרמטרים!$B$9+I30*פרמטרים!$B$10+J30*פרמטרים!$B$11+K30*פרמטרים!$B$12+L30*פרמטרים!$B$13)/SUM(פרמטרים!$B$4:$B$13)</f>
        <v/>
      </c>
      <c r="N30" s="11">
        <f>SUMPRODUCT('דירוגי תכונות'!C30:F30,פרמטרים!$B$26:$E$26)/SUM(פרמטרים!$B$26:$E$26)</f>
        <v/>
      </c>
      <c r="O30" s="11">
        <f>SUMPRODUCT('דירוגי תכונות'!G30:J30,פרמטרים!$B$26:$E$26)/SUM(פרמטרים!$B$26:$E$26)</f>
        <v/>
      </c>
      <c r="P30" s="11">
        <f>SUMPRODUCT('דירוגי תכונות'!K30:N30,פרמטרים!$B$26:$E$26)/SUM(פרמטרים!$B$26:$E$26)</f>
        <v/>
      </c>
      <c r="Q30" s="11">
        <f>SUMPRODUCT('דירוגי תכונות'!O30:R30,פרמטרים!$B$26:$E$26)/SUM(פרמטרים!$B$26:$E$26)</f>
        <v/>
      </c>
      <c r="R30" s="11">
        <f>SUMPRODUCT('דירוגי תכונות'!S30:V30,פרמטרים!$B$26:$E$26)/SUM(פרמטרים!$B$26:$E$26)</f>
        <v/>
      </c>
      <c r="S30" s="11">
        <f>(N30*פרמטרים!$B$16+O30*פרמטרים!$B$17+P30*פרמטרים!$B$18+Q30*פרמטרים!$B$19+R30*פרמטרים!$B$20)/SUM(פרמטרים!$B$16:$B$20)</f>
        <v/>
      </c>
      <c r="T30" s="11">
        <f>'דירוגי נושאים'!C30</f>
        <v/>
      </c>
      <c r="U30" s="11">
        <f>(פרמטרים!$B$28*M30+(1-פרמטרים!$B$28)*S30)*(1-פרמטרים!$B$29*(5-T30)/4)</f>
        <v/>
      </c>
      <c r="V30" s="12">
        <f>(U30-1)/4*100</f>
        <v/>
      </c>
      <c r="W30" s="11">
        <f>U30+ROW()/10000000</f>
        <v/>
      </c>
      <c r="X30" s="10">
        <f>RANK(W30,$W$2:$W$52)</f>
        <v/>
      </c>
    </row>
    <row r="31">
      <c r="A31" s="10" t="n">
        <v>30</v>
      </c>
      <c r="B31" s="9">
        <f>'דירוגי נושאים'!B31</f>
        <v/>
      </c>
      <c r="C31" s="11">
        <f>SUMPRODUCT('דירוגי נושאים'!D31:H31,פרמטרים!$B$23:$F$23)/SUM(פרמטרים!$B$23:$F$23)</f>
        <v/>
      </c>
      <c r="D31" s="11">
        <f>SUMPRODUCT('דירוגי נושאים'!I31:M31,פרמטרים!$B$23:$F$23)/SUM(פרמטרים!$B$23:$F$23)</f>
        <v/>
      </c>
      <c r="E31" s="11">
        <f>SUMPRODUCT('דירוגי נושאים'!N31:R31,פרמטרים!$B$23:$F$23)/SUM(פרמטרים!$B$23:$F$23)</f>
        <v/>
      </c>
      <c r="F31" s="11">
        <f>SUMPRODUCT('דירוגי נושאים'!S31:W31,פרמטרים!$B$23:$F$23)/SUM(פרמטרים!$B$23:$F$23)</f>
        <v/>
      </c>
      <c r="G31" s="11">
        <f>SUMPRODUCT('דירוגי נושאים'!X31:AB31,פרמטרים!$B$23:$F$23)/SUM(פרמטרים!$B$23:$F$23)</f>
        <v/>
      </c>
      <c r="H31" s="11">
        <f>SUMPRODUCT('דירוגי נושאים'!AC31:AG31,פרמטרים!$B$23:$F$23)/SUM(פרמטרים!$B$23:$F$23)</f>
        <v/>
      </c>
      <c r="I31" s="11">
        <f>SUMPRODUCT('דירוגי נושאים'!AH31:AL31,פרמטרים!$B$23:$F$23)/SUM(פרמטרים!$B$23:$F$23)</f>
        <v/>
      </c>
      <c r="J31" s="11">
        <f>SUMPRODUCT('דירוגי נושאים'!AM31:AQ31,פרמטרים!$B$23:$F$23)/SUM(פרמטרים!$B$23:$F$23)</f>
        <v/>
      </c>
      <c r="K31" s="11">
        <f>SUMPRODUCT('דירוגי נושאים'!AR31:AV31,פרמטרים!$B$23:$F$23)/SUM(פרמטרים!$B$23:$F$23)</f>
        <v/>
      </c>
      <c r="L31" s="11">
        <f>SUMPRODUCT('דירוגי נושאים'!AW31:BA31,פרמטרים!$B$23:$F$23)/SUM(פרמטרים!$B$23:$F$23)</f>
        <v/>
      </c>
      <c r="M31" s="11">
        <f>(C31*פרמטרים!$B$4+D31*פרמטרים!$B$5+E31*פרמטרים!$B$6+F31*פרמטרים!$B$7+G31*פרמטרים!$B$8+H31*פרמטרים!$B$9+I31*פרמטרים!$B$10+J31*פרמטרים!$B$11+K31*פרמטרים!$B$12+L31*פרמטרים!$B$13)/SUM(פרמטרים!$B$4:$B$13)</f>
        <v/>
      </c>
      <c r="N31" s="11">
        <f>SUMPRODUCT('דירוגי תכונות'!C31:F31,פרמטרים!$B$26:$E$26)/SUM(פרמטרים!$B$26:$E$26)</f>
        <v/>
      </c>
      <c r="O31" s="11">
        <f>SUMPRODUCT('דירוגי תכונות'!G31:J31,פרמטרים!$B$26:$E$26)/SUM(פרמטרים!$B$26:$E$26)</f>
        <v/>
      </c>
      <c r="P31" s="11">
        <f>SUMPRODUCT('דירוגי תכונות'!K31:N31,פרמטרים!$B$26:$E$26)/SUM(פרמטרים!$B$26:$E$26)</f>
        <v/>
      </c>
      <c r="Q31" s="11">
        <f>SUMPRODUCT('דירוגי תכונות'!O31:R31,פרמטרים!$B$26:$E$26)/SUM(פרמטרים!$B$26:$E$26)</f>
        <v/>
      </c>
      <c r="R31" s="11">
        <f>SUMPRODUCT('דירוגי תכונות'!S31:V31,פרמטרים!$B$26:$E$26)/SUM(פרמטרים!$B$26:$E$26)</f>
        <v/>
      </c>
      <c r="S31" s="11">
        <f>(N31*פרמטרים!$B$16+O31*פרמטרים!$B$17+P31*פרמטרים!$B$18+Q31*פרמטרים!$B$19+R31*פרמטרים!$B$20)/SUM(פרמטרים!$B$16:$B$20)</f>
        <v/>
      </c>
      <c r="T31" s="11">
        <f>'דירוגי נושאים'!C31</f>
        <v/>
      </c>
      <c r="U31" s="11">
        <f>(פרמטרים!$B$28*M31+(1-פרמטרים!$B$28)*S31)*(1-פרמטרים!$B$29*(5-T31)/4)</f>
        <v/>
      </c>
      <c r="V31" s="12">
        <f>(U31-1)/4*100</f>
        <v/>
      </c>
      <c r="W31" s="11">
        <f>U31+ROW()/10000000</f>
        <v/>
      </c>
      <c r="X31" s="10">
        <f>RANK(W31,$W$2:$W$52)</f>
        <v/>
      </c>
    </row>
    <row r="32">
      <c r="A32" s="10" t="n">
        <v>31</v>
      </c>
      <c r="B32" s="9">
        <f>'דירוגי נושאים'!B32</f>
        <v/>
      </c>
      <c r="C32" s="11">
        <f>SUMPRODUCT('דירוגי נושאים'!D32:H32,פרמטרים!$B$23:$F$23)/SUM(פרמטרים!$B$23:$F$23)</f>
        <v/>
      </c>
      <c r="D32" s="11">
        <f>SUMPRODUCT('דירוגי נושאים'!I32:M32,פרמטרים!$B$23:$F$23)/SUM(פרמטרים!$B$23:$F$23)</f>
        <v/>
      </c>
      <c r="E32" s="11">
        <f>SUMPRODUCT('דירוגי נושאים'!N32:R32,פרמטרים!$B$23:$F$23)/SUM(פרמטרים!$B$23:$F$23)</f>
        <v/>
      </c>
      <c r="F32" s="11">
        <f>SUMPRODUCT('דירוגי נושאים'!S32:W32,פרמטרים!$B$23:$F$23)/SUM(פרמטרים!$B$23:$F$23)</f>
        <v/>
      </c>
      <c r="G32" s="11">
        <f>SUMPRODUCT('דירוגי נושאים'!X32:AB32,פרמטרים!$B$23:$F$23)/SUM(פרמטרים!$B$23:$F$23)</f>
        <v/>
      </c>
      <c r="H32" s="11">
        <f>SUMPRODUCT('דירוגי נושאים'!AC32:AG32,פרמטרים!$B$23:$F$23)/SUM(פרמטרים!$B$23:$F$23)</f>
        <v/>
      </c>
      <c r="I32" s="11">
        <f>SUMPRODUCT('דירוגי נושאים'!AH32:AL32,פרמטרים!$B$23:$F$23)/SUM(פרמטרים!$B$23:$F$23)</f>
        <v/>
      </c>
      <c r="J32" s="11">
        <f>SUMPRODUCT('דירוגי נושאים'!AM32:AQ32,פרמטרים!$B$23:$F$23)/SUM(פרמטרים!$B$23:$F$23)</f>
        <v/>
      </c>
      <c r="K32" s="11">
        <f>SUMPRODUCT('דירוגי נושאים'!AR32:AV32,פרמטרים!$B$23:$F$23)/SUM(פרמטרים!$B$23:$F$23)</f>
        <v/>
      </c>
      <c r="L32" s="11">
        <f>SUMPRODUCT('דירוגי נושאים'!AW32:BA32,פרמטרים!$B$23:$F$23)/SUM(פרמטרים!$B$23:$F$23)</f>
        <v/>
      </c>
      <c r="M32" s="11">
        <f>(C32*פרמטרים!$B$4+D32*פרמטרים!$B$5+E32*פרמטרים!$B$6+F32*פרמטרים!$B$7+G32*פרמטרים!$B$8+H32*פרמטרים!$B$9+I32*פרמטרים!$B$10+J32*פרמטרים!$B$11+K32*פרמטרים!$B$12+L32*פרמטרים!$B$13)/SUM(פרמטרים!$B$4:$B$13)</f>
        <v/>
      </c>
      <c r="N32" s="11">
        <f>SUMPRODUCT('דירוגי תכונות'!C32:F32,פרמטרים!$B$26:$E$26)/SUM(פרמטרים!$B$26:$E$26)</f>
        <v/>
      </c>
      <c r="O32" s="11">
        <f>SUMPRODUCT('דירוגי תכונות'!G32:J32,פרמטרים!$B$26:$E$26)/SUM(פרמטרים!$B$26:$E$26)</f>
        <v/>
      </c>
      <c r="P32" s="11">
        <f>SUMPRODUCT('דירוגי תכונות'!K32:N32,פרמטרים!$B$26:$E$26)/SUM(פרמטרים!$B$26:$E$26)</f>
        <v/>
      </c>
      <c r="Q32" s="11">
        <f>SUMPRODUCT('דירוגי תכונות'!O32:R32,פרמטרים!$B$26:$E$26)/SUM(פרמטרים!$B$26:$E$26)</f>
        <v/>
      </c>
      <c r="R32" s="11">
        <f>SUMPRODUCT('דירוגי תכונות'!S32:V32,פרמטרים!$B$26:$E$26)/SUM(פרמטרים!$B$26:$E$26)</f>
        <v/>
      </c>
      <c r="S32" s="11">
        <f>(N32*פרמטרים!$B$16+O32*פרמטרים!$B$17+P32*פרמטרים!$B$18+Q32*פרמטרים!$B$19+R32*פרמטרים!$B$20)/SUM(פרמטרים!$B$16:$B$20)</f>
        <v/>
      </c>
      <c r="T32" s="11">
        <f>'דירוגי נושאים'!C32</f>
        <v/>
      </c>
      <c r="U32" s="11">
        <f>(פרמטרים!$B$28*M32+(1-פרמטרים!$B$28)*S32)*(1-פרמטרים!$B$29*(5-T32)/4)</f>
        <v/>
      </c>
      <c r="V32" s="12">
        <f>(U32-1)/4*100</f>
        <v/>
      </c>
      <c r="W32" s="11">
        <f>U32+ROW()/10000000</f>
        <v/>
      </c>
      <c r="X32" s="10">
        <f>RANK(W32,$W$2:$W$52)</f>
        <v/>
      </c>
    </row>
    <row r="33">
      <c r="A33" s="10" t="n">
        <v>32</v>
      </c>
      <c r="B33" s="9">
        <f>'דירוגי נושאים'!B33</f>
        <v/>
      </c>
      <c r="C33" s="11">
        <f>SUMPRODUCT('דירוגי נושאים'!D33:H33,פרמטרים!$B$23:$F$23)/SUM(פרמטרים!$B$23:$F$23)</f>
        <v/>
      </c>
      <c r="D33" s="11">
        <f>SUMPRODUCT('דירוגי נושאים'!I33:M33,פרמטרים!$B$23:$F$23)/SUM(פרמטרים!$B$23:$F$23)</f>
        <v/>
      </c>
      <c r="E33" s="11">
        <f>SUMPRODUCT('דירוגי נושאים'!N33:R33,פרמטרים!$B$23:$F$23)/SUM(פרמטרים!$B$23:$F$23)</f>
        <v/>
      </c>
      <c r="F33" s="11">
        <f>SUMPRODUCT('דירוגי נושאים'!S33:W33,פרמטרים!$B$23:$F$23)/SUM(פרמטרים!$B$23:$F$23)</f>
        <v/>
      </c>
      <c r="G33" s="11">
        <f>SUMPRODUCT('דירוגי נושאים'!X33:AB33,פרמטרים!$B$23:$F$23)/SUM(פרמטרים!$B$23:$F$23)</f>
        <v/>
      </c>
      <c r="H33" s="11">
        <f>SUMPRODUCT('דירוגי נושאים'!AC33:AG33,פרמטרים!$B$23:$F$23)/SUM(פרמטרים!$B$23:$F$23)</f>
        <v/>
      </c>
      <c r="I33" s="11">
        <f>SUMPRODUCT('דירוגי נושאים'!AH33:AL33,פרמטרים!$B$23:$F$23)/SUM(פרמטרים!$B$23:$F$23)</f>
        <v/>
      </c>
      <c r="J33" s="11">
        <f>SUMPRODUCT('דירוגי נושאים'!AM33:AQ33,פרמטרים!$B$23:$F$23)/SUM(פרמטרים!$B$23:$F$23)</f>
        <v/>
      </c>
      <c r="K33" s="11">
        <f>SUMPRODUCT('דירוגי נושאים'!AR33:AV33,פרמטרים!$B$23:$F$23)/SUM(פרמטרים!$B$23:$F$23)</f>
        <v/>
      </c>
      <c r="L33" s="11">
        <f>SUMPRODUCT('דירוגי נושאים'!AW33:BA33,פרמטרים!$B$23:$F$23)/SUM(פרמטרים!$B$23:$F$23)</f>
        <v/>
      </c>
      <c r="M33" s="11">
        <f>(C33*פרמטרים!$B$4+D33*פרמטרים!$B$5+E33*פרמטרים!$B$6+F33*פרמטרים!$B$7+G33*פרמטרים!$B$8+H33*פרמטרים!$B$9+I33*פרמטרים!$B$10+J33*פרמטרים!$B$11+K33*פרמטרים!$B$12+L33*פרמטרים!$B$13)/SUM(פרמטרים!$B$4:$B$13)</f>
        <v/>
      </c>
      <c r="N33" s="11">
        <f>SUMPRODUCT('דירוגי תכונות'!C33:F33,פרמטרים!$B$26:$E$26)/SUM(פרמטרים!$B$26:$E$26)</f>
        <v/>
      </c>
      <c r="O33" s="11">
        <f>SUMPRODUCT('דירוגי תכונות'!G33:J33,פרמטרים!$B$26:$E$26)/SUM(פרמטרים!$B$26:$E$26)</f>
        <v/>
      </c>
      <c r="P33" s="11">
        <f>SUMPRODUCT('דירוגי תכונות'!K33:N33,פרמטרים!$B$26:$E$26)/SUM(פרמטרים!$B$26:$E$26)</f>
        <v/>
      </c>
      <c r="Q33" s="11">
        <f>SUMPRODUCT('דירוגי תכונות'!O33:R33,פרמטרים!$B$26:$E$26)/SUM(פרמטרים!$B$26:$E$26)</f>
        <v/>
      </c>
      <c r="R33" s="11">
        <f>SUMPRODUCT('דירוגי תכונות'!S33:V33,פרמטרים!$B$26:$E$26)/SUM(פרמטרים!$B$26:$E$26)</f>
        <v/>
      </c>
      <c r="S33" s="11">
        <f>(N33*פרמטרים!$B$16+O33*פרמטרים!$B$17+P33*פרמטרים!$B$18+Q33*פרמטרים!$B$19+R33*פרמטרים!$B$20)/SUM(פרמטרים!$B$16:$B$20)</f>
        <v/>
      </c>
      <c r="T33" s="11">
        <f>'דירוגי נושאים'!C33</f>
        <v/>
      </c>
      <c r="U33" s="11">
        <f>(פרמטרים!$B$28*M33+(1-פרמטרים!$B$28)*S33)*(1-פרמטרים!$B$29*(5-T33)/4)</f>
        <v/>
      </c>
      <c r="V33" s="12">
        <f>(U33-1)/4*100</f>
        <v/>
      </c>
      <c r="W33" s="11">
        <f>U33+ROW()/10000000</f>
        <v/>
      </c>
      <c r="X33" s="10">
        <f>RANK(W33,$W$2:$W$52)</f>
        <v/>
      </c>
    </row>
    <row r="34">
      <c r="A34" s="10" t="n">
        <v>33</v>
      </c>
      <c r="B34" s="9">
        <f>'דירוגי נושאים'!B34</f>
        <v/>
      </c>
      <c r="C34" s="11">
        <f>SUMPRODUCT('דירוגי נושאים'!D34:H34,פרמטרים!$B$23:$F$23)/SUM(פרמטרים!$B$23:$F$23)</f>
        <v/>
      </c>
      <c r="D34" s="11">
        <f>SUMPRODUCT('דירוגי נושאים'!I34:M34,פרמטרים!$B$23:$F$23)/SUM(פרמטרים!$B$23:$F$23)</f>
        <v/>
      </c>
      <c r="E34" s="11">
        <f>SUMPRODUCT('דירוגי נושאים'!N34:R34,פרמטרים!$B$23:$F$23)/SUM(פרמטרים!$B$23:$F$23)</f>
        <v/>
      </c>
      <c r="F34" s="11">
        <f>SUMPRODUCT('דירוגי נושאים'!S34:W34,פרמטרים!$B$23:$F$23)/SUM(פרמטרים!$B$23:$F$23)</f>
        <v/>
      </c>
      <c r="G34" s="11">
        <f>SUMPRODUCT('דירוגי נושאים'!X34:AB34,פרמטרים!$B$23:$F$23)/SUM(פרמטרים!$B$23:$F$23)</f>
        <v/>
      </c>
      <c r="H34" s="11">
        <f>SUMPRODUCT('דירוגי נושאים'!AC34:AG34,פרמטרים!$B$23:$F$23)/SUM(פרמטרים!$B$23:$F$23)</f>
        <v/>
      </c>
      <c r="I34" s="11">
        <f>SUMPRODUCT('דירוגי נושאים'!AH34:AL34,פרמטרים!$B$23:$F$23)/SUM(פרמטרים!$B$23:$F$23)</f>
        <v/>
      </c>
      <c r="J34" s="11">
        <f>SUMPRODUCT('דירוגי נושאים'!AM34:AQ34,פרמטרים!$B$23:$F$23)/SUM(פרמטרים!$B$23:$F$23)</f>
        <v/>
      </c>
      <c r="K34" s="11">
        <f>SUMPRODUCT('דירוגי נושאים'!AR34:AV34,פרמטרים!$B$23:$F$23)/SUM(פרמטרים!$B$23:$F$23)</f>
        <v/>
      </c>
      <c r="L34" s="11">
        <f>SUMPRODUCT('דירוגי נושאים'!AW34:BA34,פרמטרים!$B$23:$F$23)/SUM(פרמטרים!$B$23:$F$23)</f>
        <v/>
      </c>
      <c r="M34" s="11">
        <f>(C34*פרמטרים!$B$4+D34*פרמטרים!$B$5+E34*פרמטרים!$B$6+F34*פרמטרים!$B$7+G34*פרמטרים!$B$8+H34*פרמטרים!$B$9+I34*פרמטרים!$B$10+J34*פרמטרים!$B$11+K34*פרמטרים!$B$12+L34*פרמטרים!$B$13)/SUM(פרמטרים!$B$4:$B$13)</f>
        <v/>
      </c>
      <c r="N34" s="11">
        <f>SUMPRODUCT('דירוגי תכונות'!C34:F34,פרמטרים!$B$26:$E$26)/SUM(פרמטרים!$B$26:$E$26)</f>
        <v/>
      </c>
      <c r="O34" s="11">
        <f>SUMPRODUCT('דירוגי תכונות'!G34:J34,פרמטרים!$B$26:$E$26)/SUM(פרמטרים!$B$26:$E$26)</f>
        <v/>
      </c>
      <c r="P34" s="11">
        <f>SUMPRODUCT('דירוגי תכונות'!K34:N34,פרמטרים!$B$26:$E$26)/SUM(פרמטרים!$B$26:$E$26)</f>
        <v/>
      </c>
      <c r="Q34" s="11">
        <f>SUMPRODUCT('דירוגי תכונות'!O34:R34,פרמטרים!$B$26:$E$26)/SUM(פרמטרים!$B$26:$E$26)</f>
        <v/>
      </c>
      <c r="R34" s="11">
        <f>SUMPRODUCT('דירוגי תכונות'!S34:V34,פרמטרים!$B$26:$E$26)/SUM(פרמטרים!$B$26:$E$26)</f>
        <v/>
      </c>
      <c r="S34" s="11">
        <f>(N34*פרמטרים!$B$16+O34*פרמטרים!$B$17+P34*פרמטרים!$B$18+Q34*פרמטרים!$B$19+R34*פרמטרים!$B$20)/SUM(פרמטרים!$B$16:$B$20)</f>
        <v/>
      </c>
      <c r="T34" s="11">
        <f>'דירוגי נושאים'!C34</f>
        <v/>
      </c>
      <c r="U34" s="11">
        <f>(פרמטרים!$B$28*M34+(1-פרמטרים!$B$28)*S34)*(1-פרמטרים!$B$29*(5-T34)/4)</f>
        <v/>
      </c>
      <c r="V34" s="12">
        <f>(U34-1)/4*100</f>
        <v/>
      </c>
      <c r="W34" s="11">
        <f>U34+ROW()/10000000</f>
        <v/>
      </c>
      <c r="X34" s="10">
        <f>RANK(W34,$W$2:$W$52)</f>
        <v/>
      </c>
    </row>
    <row r="35">
      <c r="A35" s="10" t="n">
        <v>34</v>
      </c>
      <c r="B35" s="9">
        <f>'דירוגי נושאים'!B35</f>
        <v/>
      </c>
      <c r="C35" s="11">
        <f>SUMPRODUCT('דירוגי נושאים'!D35:H35,פרמטרים!$B$23:$F$23)/SUM(פרמטרים!$B$23:$F$23)</f>
        <v/>
      </c>
      <c r="D35" s="11">
        <f>SUMPRODUCT('דירוגי נושאים'!I35:M35,פרמטרים!$B$23:$F$23)/SUM(פרמטרים!$B$23:$F$23)</f>
        <v/>
      </c>
      <c r="E35" s="11">
        <f>SUMPRODUCT('דירוגי נושאים'!N35:R35,פרמטרים!$B$23:$F$23)/SUM(פרמטרים!$B$23:$F$23)</f>
        <v/>
      </c>
      <c r="F35" s="11">
        <f>SUMPRODUCT('דירוגי נושאים'!S35:W35,פרמטרים!$B$23:$F$23)/SUM(פרמטרים!$B$23:$F$23)</f>
        <v/>
      </c>
      <c r="G35" s="11">
        <f>SUMPRODUCT('דירוגי נושאים'!X35:AB35,פרמטרים!$B$23:$F$23)/SUM(פרמטרים!$B$23:$F$23)</f>
        <v/>
      </c>
      <c r="H35" s="11">
        <f>SUMPRODUCT('דירוגי נושאים'!AC35:AG35,פרמטרים!$B$23:$F$23)/SUM(פרמטרים!$B$23:$F$23)</f>
        <v/>
      </c>
      <c r="I35" s="11">
        <f>SUMPRODUCT('דירוגי נושאים'!AH35:AL35,פרמטרים!$B$23:$F$23)/SUM(פרמטרים!$B$23:$F$23)</f>
        <v/>
      </c>
      <c r="J35" s="11">
        <f>SUMPRODUCT('דירוגי נושאים'!AM35:AQ35,פרמטרים!$B$23:$F$23)/SUM(פרמטרים!$B$23:$F$23)</f>
        <v/>
      </c>
      <c r="K35" s="11">
        <f>SUMPRODUCT('דירוגי נושאים'!AR35:AV35,פרמטרים!$B$23:$F$23)/SUM(פרמטרים!$B$23:$F$23)</f>
        <v/>
      </c>
      <c r="L35" s="11">
        <f>SUMPRODUCT('דירוגי נושאים'!AW35:BA35,פרמטרים!$B$23:$F$23)/SUM(פרמטרים!$B$23:$F$23)</f>
        <v/>
      </c>
      <c r="M35" s="11">
        <f>(C35*פרמטרים!$B$4+D35*פרמטרים!$B$5+E35*פרמטרים!$B$6+F35*פרמטרים!$B$7+G35*פרמטרים!$B$8+H35*פרמטרים!$B$9+I35*פרמטרים!$B$10+J35*פרמטרים!$B$11+K35*פרמטרים!$B$12+L35*פרמטרים!$B$13)/SUM(פרמטרים!$B$4:$B$13)</f>
        <v/>
      </c>
      <c r="N35" s="11">
        <f>SUMPRODUCT('דירוגי תכונות'!C35:F35,פרמטרים!$B$26:$E$26)/SUM(פרמטרים!$B$26:$E$26)</f>
        <v/>
      </c>
      <c r="O35" s="11">
        <f>SUMPRODUCT('דירוגי תכונות'!G35:J35,פרמטרים!$B$26:$E$26)/SUM(פרמטרים!$B$26:$E$26)</f>
        <v/>
      </c>
      <c r="P35" s="11">
        <f>SUMPRODUCT('דירוגי תכונות'!K35:N35,פרמטרים!$B$26:$E$26)/SUM(פרמטרים!$B$26:$E$26)</f>
        <v/>
      </c>
      <c r="Q35" s="11">
        <f>SUMPRODUCT('דירוגי תכונות'!O35:R35,פרמטרים!$B$26:$E$26)/SUM(פרמטרים!$B$26:$E$26)</f>
        <v/>
      </c>
      <c r="R35" s="11">
        <f>SUMPRODUCT('דירוגי תכונות'!S35:V35,פרמטרים!$B$26:$E$26)/SUM(פרמטרים!$B$26:$E$26)</f>
        <v/>
      </c>
      <c r="S35" s="11">
        <f>(N35*פרמטרים!$B$16+O35*פרמטרים!$B$17+P35*פרמטרים!$B$18+Q35*פרמטרים!$B$19+R35*פרמטרים!$B$20)/SUM(פרמטרים!$B$16:$B$20)</f>
        <v/>
      </c>
      <c r="T35" s="11">
        <f>'דירוגי נושאים'!C35</f>
        <v/>
      </c>
      <c r="U35" s="11">
        <f>(פרמטרים!$B$28*M35+(1-פרמטרים!$B$28)*S35)*(1-פרמטרים!$B$29*(5-T35)/4)</f>
        <v/>
      </c>
      <c r="V35" s="12">
        <f>(U35-1)/4*100</f>
        <v/>
      </c>
      <c r="W35" s="11">
        <f>U35+ROW()/10000000</f>
        <v/>
      </c>
      <c r="X35" s="10">
        <f>RANK(W35,$W$2:$W$52)</f>
        <v/>
      </c>
    </row>
    <row r="36">
      <c r="A36" s="10" t="n">
        <v>35</v>
      </c>
      <c r="B36" s="9">
        <f>'דירוגי נושאים'!B36</f>
        <v/>
      </c>
      <c r="C36" s="11">
        <f>SUMPRODUCT('דירוגי נושאים'!D36:H36,פרמטרים!$B$23:$F$23)/SUM(פרמטרים!$B$23:$F$23)</f>
        <v/>
      </c>
      <c r="D36" s="11">
        <f>SUMPRODUCT('דירוגי נושאים'!I36:M36,פרמטרים!$B$23:$F$23)/SUM(פרמטרים!$B$23:$F$23)</f>
        <v/>
      </c>
      <c r="E36" s="11">
        <f>SUMPRODUCT('דירוגי נושאים'!N36:R36,פרמטרים!$B$23:$F$23)/SUM(פרמטרים!$B$23:$F$23)</f>
        <v/>
      </c>
      <c r="F36" s="11">
        <f>SUMPRODUCT('דירוגי נושאים'!S36:W36,פרמטרים!$B$23:$F$23)/SUM(פרמטרים!$B$23:$F$23)</f>
        <v/>
      </c>
      <c r="G36" s="11">
        <f>SUMPRODUCT('דירוגי נושאים'!X36:AB36,פרמטרים!$B$23:$F$23)/SUM(פרמטרים!$B$23:$F$23)</f>
        <v/>
      </c>
      <c r="H36" s="11">
        <f>SUMPRODUCT('דירוגי נושאים'!AC36:AG36,פרמטרים!$B$23:$F$23)/SUM(פרמטרים!$B$23:$F$23)</f>
        <v/>
      </c>
      <c r="I36" s="11">
        <f>SUMPRODUCT('דירוגי נושאים'!AH36:AL36,פרמטרים!$B$23:$F$23)/SUM(פרמטרים!$B$23:$F$23)</f>
        <v/>
      </c>
      <c r="J36" s="11">
        <f>SUMPRODUCT('דירוגי נושאים'!AM36:AQ36,פרמטרים!$B$23:$F$23)/SUM(פרמטרים!$B$23:$F$23)</f>
        <v/>
      </c>
      <c r="K36" s="11">
        <f>SUMPRODUCT('דירוגי נושאים'!AR36:AV36,פרמטרים!$B$23:$F$23)/SUM(פרמטרים!$B$23:$F$23)</f>
        <v/>
      </c>
      <c r="L36" s="11">
        <f>SUMPRODUCT('דירוגי נושאים'!AW36:BA36,פרמטרים!$B$23:$F$23)/SUM(פרמטרים!$B$23:$F$23)</f>
        <v/>
      </c>
      <c r="M36" s="11">
        <f>(C36*פרמטרים!$B$4+D36*פרמטרים!$B$5+E36*פרמטרים!$B$6+F36*פרמטרים!$B$7+G36*פרמטרים!$B$8+H36*פרמטרים!$B$9+I36*פרמטרים!$B$10+J36*פרמטרים!$B$11+K36*פרמטרים!$B$12+L36*פרמטרים!$B$13)/SUM(פרמטרים!$B$4:$B$13)</f>
        <v/>
      </c>
      <c r="N36" s="11">
        <f>SUMPRODUCT('דירוגי תכונות'!C36:F36,פרמטרים!$B$26:$E$26)/SUM(פרמטרים!$B$26:$E$26)</f>
        <v/>
      </c>
      <c r="O36" s="11">
        <f>SUMPRODUCT('דירוגי תכונות'!G36:J36,פרמטרים!$B$26:$E$26)/SUM(פרמטרים!$B$26:$E$26)</f>
        <v/>
      </c>
      <c r="P36" s="11">
        <f>SUMPRODUCT('דירוגי תכונות'!K36:N36,פרמטרים!$B$26:$E$26)/SUM(פרמטרים!$B$26:$E$26)</f>
        <v/>
      </c>
      <c r="Q36" s="11">
        <f>SUMPRODUCT('דירוגי תכונות'!O36:R36,פרמטרים!$B$26:$E$26)/SUM(פרמטרים!$B$26:$E$26)</f>
        <v/>
      </c>
      <c r="R36" s="11">
        <f>SUMPRODUCT('דירוגי תכונות'!S36:V36,פרמטרים!$B$26:$E$26)/SUM(פרמטרים!$B$26:$E$26)</f>
        <v/>
      </c>
      <c r="S36" s="11">
        <f>(N36*פרמטרים!$B$16+O36*פרמטרים!$B$17+P36*פרמטרים!$B$18+Q36*פרמטרים!$B$19+R36*פרמטרים!$B$20)/SUM(פרמטרים!$B$16:$B$20)</f>
        <v/>
      </c>
      <c r="T36" s="11">
        <f>'דירוגי נושאים'!C36</f>
        <v/>
      </c>
      <c r="U36" s="11">
        <f>(פרמטרים!$B$28*M36+(1-פרמטרים!$B$28)*S36)*(1-פרמטרים!$B$29*(5-T36)/4)</f>
        <v/>
      </c>
      <c r="V36" s="12">
        <f>(U36-1)/4*100</f>
        <v/>
      </c>
      <c r="W36" s="11">
        <f>U36+ROW()/10000000</f>
        <v/>
      </c>
      <c r="X36" s="10">
        <f>RANK(W36,$W$2:$W$52)</f>
        <v/>
      </c>
    </row>
    <row r="37">
      <c r="A37" s="10" t="n">
        <v>36</v>
      </c>
      <c r="B37" s="9">
        <f>'דירוגי נושאים'!B37</f>
        <v/>
      </c>
      <c r="C37" s="11">
        <f>SUMPRODUCT('דירוגי נושאים'!D37:H37,פרמטרים!$B$23:$F$23)/SUM(פרמטרים!$B$23:$F$23)</f>
        <v/>
      </c>
      <c r="D37" s="11">
        <f>SUMPRODUCT('דירוגי נושאים'!I37:M37,פרמטרים!$B$23:$F$23)/SUM(פרמטרים!$B$23:$F$23)</f>
        <v/>
      </c>
      <c r="E37" s="11">
        <f>SUMPRODUCT('דירוגי נושאים'!N37:R37,פרמטרים!$B$23:$F$23)/SUM(פרמטרים!$B$23:$F$23)</f>
        <v/>
      </c>
      <c r="F37" s="11">
        <f>SUMPRODUCT('דירוגי נושאים'!S37:W37,פרמטרים!$B$23:$F$23)/SUM(פרמטרים!$B$23:$F$23)</f>
        <v/>
      </c>
      <c r="G37" s="11">
        <f>SUMPRODUCT('דירוגי נושאים'!X37:AB37,פרמטרים!$B$23:$F$23)/SUM(פרמטרים!$B$23:$F$23)</f>
        <v/>
      </c>
      <c r="H37" s="11">
        <f>SUMPRODUCT('דירוגי נושאים'!AC37:AG37,פרמטרים!$B$23:$F$23)/SUM(פרמטרים!$B$23:$F$23)</f>
        <v/>
      </c>
      <c r="I37" s="11">
        <f>SUMPRODUCT('דירוגי נושאים'!AH37:AL37,פרמטרים!$B$23:$F$23)/SUM(פרמטרים!$B$23:$F$23)</f>
        <v/>
      </c>
      <c r="J37" s="11">
        <f>SUMPRODUCT('דירוגי נושאים'!AM37:AQ37,פרמטרים!$B$23:$F$23)/SUM(פרמטרים!$B$23:$F$23)</f>
        <v/>
      </c>
      <c r="K37" s="11">
        <f>SUMPRODUCT('דירוגי נושאים'!AR37:AV37,פרמטרים!$B$23:$F$23)/SUM(פרמטרים!$B$23:$F$23)</f>
        <v/>
      </c>
      <c r="L37" s="11">
        <f>SUMPRODUCT('דירוגי נושאים'!AW37:BA37,פרמטרים!$B$23:$F$23)/SUM(פרמטרים!$B$23:$F$23)</f>
        <v/>
      </c>
      <c r="M37" s="11">
        <f>(C37*פרמטרים!$B$4+D37*פרמטרים!$B$5+E37*פרמטרים!$B$6+F37*פרמטרים!$B$7+G37*פרמטרים!$B$8+H37*פרמטרים!$B$9+I37*פרמטרים!$B$10+J37*פרמטרים!$B$11+K37*פרמטרים!$B$12+L37*פרמטרים!$B$13)/SUM(פרמטרים!$B$4:$B$13)</f>
        <v/>
      </c>
      <c r="N37" s="11">
        <f>SUMPRODUCT('דירוגי תכונות'!C37:F37,פרמטרים!$B$26:$E$26)/SUM(פרמטרים!$B$26:$E$26)</f>
        <v/>
      </c>
      <c r="O37" s="11">
        <f>SUMPRODUCT('דירוגי תכונות'!G37:J37,פרמטרים!$B$26:$E$26)/SUM(פרמטרים!$B$26:$E$26)</f>
        <v/>
      </c>
      <c r="P37" s="11">
        <f>SUMPRODUCT('דירוגי תכונות'!K37:N37,פרמטרים!$B$26:$E$26)/SUM(פרמטרים!$B$26:$E$26)</f>
        <v/>
      </c>
      <c r="Q37" s="11">
        <f>SUMPRODUCT('דירוגי תכונות'!O37:R37,פרמטרים!$B$26:$E$26)/SUM(פרמטרים!$B$26:$E$26)</f>
        <v/>
      </c>
      <c r="R37" s="11">
        <f>SUMPRODUCT('דירוגי תכונות'!S37:V37,פרמטרים!$B$26:$E$26)/SUM(פרמטרים!$B$26:$E$26)</f>
        <v/>
      </c>
      <c r="S37" s="11">
        <f>(N37*פרמטרים!$B$16+O37*פרמטרים!$B$17+P37*פרמטרים!$B$18+Q37*פרמטרים!$B$19+R37*פרמטרים!$B$20)/SUM(פרמטרים!$B$16:$B$20)</f>
        <v/>
      </c>
      <c r="T37" s="11">
        <f>'דירוגי נושאים'!C37</f>
        <v/>
      </c>
      <c r="U37" s="11">
        <f>(פרמטרים!$B$28*M37+(1-פרמטרים!$B$28)*S37)*(1-פרמטרים!$B$29*(5-T37)/4)</f>
        <v/>
      </c>
      <c r="V37" s="12">
        <f>(U37-1)/4*100</f>
        <v/>
      </c>
      <c r="W37" s="11">
        <f>U37+ROW()/10000000</f>
        <v/>
      </c>
      <c r="X37" s="10">
        <f>RANK(W37,$W$2:$W$52)</f>
        <v/>
      </c>
    </row>
    <row r="38">
      <c r="A38" s="10" t="n">
        <v>37</v>
      </c>
      <c r="B38" s="9">
        <f>'דירוגי נושאים'!B38</f>
        <v/>
      </c>
      <c r="C38" s="11">
        <f>SUMPRODUCT('דירוגי נושאים'!D38:H38,פרמטרים!$B$23:$F$23)/SUM(פרמטרים!$B$23:$F$23)</f>
        <v/>
      </c>
      <c r="D38" s="11">
        <f>SUMPRODUCT('דירוגי נושאים'!I38:M38,פרמטרים!$B$23:$F$23)/SUM(פרמטרים!$B$23:$F$23)</f>
        <v/>
      </c>
      <c r="E38" s="11">
        <f>SUMPRODUCT('דירוגי נושאים'!N38:R38,פרמטרים!$B$23:$F$23)/SUM(פרמטרים!$B$23:$F$23)</f>
        <v/>
      </c>
      <c r="F38" s="11">
        <f>SUMPRODUCT('דירוגי נושאים'!S38:W38,פרמטרים!$B$23:$F$23)/SUM(פרמטרים!$B$23:$F$23)</f>
        <v/>
      </c>
      <c r="G38" s="11">
        <f>SUMPRODUCT('דירוגי נושאים'!X38:AB38,פרמטרים!$B$23:$F$23)/SUM(פרמטרים!$B$23:$F$23)</f>
        <v/>
      </c>
      <c r="H38" s="11">
        <f>SUMPRODUCT('דירוגי נושאים'!AC38:AG38,פרמטרים!$B$23:$F$23)/SUM(פרמטרים!$B$23:$F$23)</f>
        <v/>
      </c>
      <c r="I38" s="11">
        <f>SUMPRODUCT('דירוגי נושאים'!AH38:AL38,פרמטרים!$B$23:$F$23)/SUM(פרמטרים!$B$23:$F$23)</f>
        <v/>
      </c>
      <c r="J38" s="11">
        <f>SUMPRODUCT('דירוגי נושאים'!AM38:AQ38,פרמטרים!$B$23:$F$23)/SUM(פרמטרים!$B$23:$F$23)</f>
        <v/>
      </c>
      <c r="K38" s="11">
        <f>SUMPRODUCT('דירוגי נושאים'!AR38:AV38,פרמטרים!$B$23:$F$23)/SUM(פרמטרים!$B$23:$F$23)</f>
        <v/>
      </c>
      <c r="L38" s="11">
        <f>SUMPRODUCT('דירוגי נושאים'!AW38:BA38,פרמטרים!$B$23:$F$23)/SUM(פרמטרים!$B$23:$F$23)</f>
        <v/>
      </c>
      <c r="M38" s="11">
        <f>(C38*פרמטרים!$B$4+D38*פרמטרים!$B$5+E38*פרמטרים!$B$6+F38*פרמטרים!$B$7+G38*פרמטרים!$B$8+H38*פרמטרים!$B$9+I38*פרמטרים!$B$10+J38*פרמטרים!$B$11+K38*פרמטרים!$B$12+L38*פרמטרים!$B$13)/SUM(פרמטרים!$B$4:$B$13)</f>
        <v/>
      </c>
      <c r="N38" s="11">
        <f>SUMPRODUCT('דירוגי תכונות'!C38:F38,פרמטרים!$B$26:$E$26)/SUM(פרמטרים!$B$26:$E$26)</f>
        <v/>
      </c>
      <c r="O38" s="11">
        <f>SUMPRODUCT('דירוגי תכונות'!G38:J38,פרמטרים!$B$26:$E$26)/SUM(פרמטרים!$B$26:$E$26)</f>
        <v/>
      </c>
      <c r="P38" s="11">
        <f>SUMPRODUCT('דירוגי תכונות'!K38:N38,פרמטרים!$B$26:$E$26)/SUM(פרמטרים!$B$26:$E$26)</f>
        <v/>
      </c>
      <c r="Q38" s="11">
        <f>SUMPRODUCT('דירוגי תכונות'!O38:R38,פרמטרים!$B$26:$E$26)/SUM(פרמטרים!$B$26:$E$26)</f>
        <v/>
      </c>
      <c r="R38" s="11">
        <f>SUMPRODUCT('דירוגי תכונות'!S38:V38,פרמטרים!$B$26:$E$26)/SUM(פרמטרים!$B$26:$E$26)</f>
        <v/>
      </c>
      <c r="S38" s="11">
        <f>(N38*פרמטרים!$B$16+O38*פרמטרים!$B$17+P38*פרמטרים!$B$18+Q38*פרמטרים!$B$19+R38*פרמטרים!$B$20)/SUM(פרמטרים!$B$16:$B$20)</f>
        <v/>
      </c>
      <c r="T38" s="11">
        <f>'דירוגי נושאים'!C38</f>
        <v/>
      </c>
      <c r="U38" s="11">
        <f>(פרמטרים!$B$28*M38+(1-פרמטרים!$B$28)*S38)*(1-פרמטרים!$B$29*(5-T38)/4)</f>
        <v/>
      </c>
      <c r="V38" s="12">
        <f>(U38-1)/4*100</f>
        <v/>
      </c>
      <c r="W38" s="11">
        <f>U38+ROW()/10000000</f>
        <v/>
      </c>
      <c r="X38" s="10">
        <f>RANK(W38,$W$2:$W$52)</f>
        <v/>
      </c>
    </row>
    <row r="39">
      <c r="A39" s="10" t="n">
        <v>38</v>
      </c>
      <c r="B39" s="9">
        <f>'דירוגי נושאים'!B39</f>
        <v/>
      </c>
      <c r="C39" s="11">
        <f>SUMPRODUCT('דירוגי נושאים'!D39:H39,פרמטרים!$B$23:$F$23)/SUM(פרמטרים!$B$23:$F$23)</f>
        <v/>
      </c>
      <c r="D39" s="11">
        <f>SUMPRODUCT('דירוגי נושאים'!I39:M39,פרמטרים!$B$23:$F$23)/SUM(פרמטרים!$B$23:$F$23)</f>
        <v/>
      </c>
      <c r="E39" s="11">
        <f>SUMPRODUCT('דירוגי נושאים'!N39:R39,פרמטרים!$B$23:$F$23)/SUM(פרמטרים!$B$23:$F$23)</f>
        <v/>
      </c>
      <c r="F39" s="11">
        <f>SUMPRODUCT('דירוגי נושאים'!S39:W39,פרמטרים!$B$23:$F$23)/SUM(פרמטרים!$B$23:$F$23)</f>
        <v/>
      </c>
      <c r="G39" s="11">
        <f>SUMPRODUCT('דירוגי נושאים'!X39:AB39,פרמטרים!$B$23:$F$23)/SUM(פרמטרים!$B$23:$F$23)</f>
        <v/>
      </c>
      <c r="H39" s="11">
        <f>SUMPRODUCT('דירוגי נושאים'!AC39:AG39,פרמטרים!$B$23:$F$23)/SUM(פרמטרים!$B$23:$F$23)</f>
        <v/>
      </c>
      <c r="I39" s="11">
        <f>SUMPRODUCT('דירוגי נושאים'!AH39:AL39,פרמטרים!$B$23:$F$23)/SUM(פרמטרים!$B$23:$F$23)</f>
        <v/>
      </c>
      <c r="J39" s="11">
        <f>SUMPRODUCT('דירוגי נושאים'!AM39:AQ39,פרמטרים!$B$23:$F$23)/SUM(פרמטרים!$B$23:$F$23)</f>
        <v/>
      </c>
      <c r="K39" s="11">
        <f>SUMPRODUCT('דירוגי נושאים'!AR39:AV39,פרמטרים!$B$23:$F$23)/SUM(פרמטרים!$B$23:$F$23)</f>
        <v/>
      </c>
      <c r="L39" s="11">
        <f>SUMPRODUCT('דירוגי נושאים'!AW39:BA39,פרמטרים!$B$23:$F$23)/SUM(פרמטרים!$B$23:$F$23)</f>
        <v/>
      </c>
      <c r="M39" s="11">
        <f>(C39*פרמטרים!$B$4+D39*פרמטרים!$B$5+E39*פרמטרים!$B$6+F39*פרמטרים!$B$7+G39*פרמטרים!$B$8+H39*פרמטרים!$B$9+I39*פרמטרים!$B$10+J39*פרמטרים!$B$11+K39*פרמטרים!$B$12+L39*פרמטרים!$B$13)/SUM(פרמטרים!$B$4:$B$13)</f>
        <v/>
      </c>
      <c r="N39" s="11">
        <f>SUMPRODUCT('דירוגי תכונות'!C39:F39,פרמטרים!$B$26:$E$26)/SUM(פרמטרים!$B$26:$E$26)</f>
        <v/>
      </c>
      <c r="O39" s="11">
        <f>SUMPRODUCT('דירוגי תכונות'!G39:J39,פרמטרים!$B$26:$E$26)/SUM(פרמטרים!$B$26:$E$26)</f>
        <v/>
      </c>
      <c r="P39" s="11">
        <f>SUMPRODUCT('דירוגי תכונות'!K39:N39,פרמטרים!$B$26:$E$26)/SUM(פרמטרים!$B$26:$E$26)</f>
        <v/>
      </c>
      <c r="Q39" s="11">
        <f>SUMPRODUCT('דירוגי תכונות'!O39:R39,פרמטרים!$B$26:$E$26)/SUM(פרמטרים!$B$26:$E$26)</f>
        <v/>
      </c>
      <c r="R39" s="11">
        <f>SUMPRODUCT('דירוגי תכונות'!S39:V39,פרמטרים!$B$26:$E$26)/SUM(פרמטרים!$B$26:$E$26)</f>
        <v/>
      </c>
      <c r="S39" s="11">
        <f>(N39*פרמטרים!$B$16+O39*פרמטרים!$B$17+P39*פרמטרים!$B$18+Q39*פרמטרים!$B$19+R39*פרמטרים!$B$20)/SUM(פרמטרים!$B$16:$B$20)</f>
        <v/>
      </c>
      <c r="T39" s="11">
        <f>'דירוגי נושאים'!C39</f>
        <v/>
      </c>
      <c r="U39" s="11">
        <f>(פרמטרים!$B$28*M39+(1-פרמטרים!$B$28)*S39)*(1-פרמטרים!$B$29*(5-T39)/4)</f>
        <v/>
      </c>
      <c r="V39" s="12">
        <f>(U39-1)/4*100</f>
        <v/>
      </c>
      <c r="W39" s="11">
        <f>U39+ROW()/10000000</f>
        <v/>
      </c>
      <c r="X39" s="10">
        <f>RANK(W39,$W$2:$W$52)</f>
        <v/>
      </c>
    </row>
    <row r="40">
      <c r="A40" s="10" t="n">
        <v>39</v>
      </c>
      <c r="B40" s="9">
        <f>'דירוגי נושאים'!B40</f>
        <v/>
      </c>
      <c r="C40" s="11">
        <f>SUMPRODUCT('דירוגי נושאים'!D40:H40,פרמטרים!$B$23:$F$23)/SUM(פרמטרים!$B$23:$F$23)</f>
        <v/>
      </c>
      <c r="D40" s="11">
        <f>SUMPRODUCT('דירוגי נושאים'!I40:M40,פרמטרים!$B$23:$F$23)/SUM(פרמטרים!$B$23:$F$23)</f>
        <v/>
      </c>
      <c r="E40" s="11">
        <f>SUMPRODUCT('דירוגי נושאים'!N40:R40,פרמטרים!$B$23:$F$23)/SUM(פרמטרים!$B$23:$F$23)</f>
        <v/>
      </c>
      <c r="F40" s="11">
        <f>SUMPRODUCT('דירוגי נושאים'!S40:W40,פרמטרים!$B$23:$F$23)/SUM(פרמטרים!$B$23:$F$23)</f>
        <v/>
      </c>
      <c r="G40" s="11">
        <f>SUMPRODUCT('דירוגי נושאים'!X40:AB40,פרמטרים!$B$23:$F$23)/SUM(פרמטרים!$B$23:$F$23)</f>
        <v/>
      </c>
      <c r="H40" s="11">
        <f>SUMPRODUCT('דירוגי נושאים'!AC40:AG40,פרמטרים!$B$23:$F$23)/SUM(פרמטרים!$B$23:$F$23)</f>
        <v/>
      </c>
      <c r="I40" s="11">
        <f>SUMPRODUCT('דירוגי נושאים'!AH40:AL40,פרמטרים!$B$23:$F$23)/SUM(פרמטרים!$B$23:$F$23)</f>
        <v/>
      </c>
      <c r="J40" s="11">
        <f>SUMPRODUCT('דירוגי נושאים'!AM40:AQ40,פרמטרים!$B$23:$F$23)/SUM(פרמטרים!$B$23:$F$23)</f>
        <v/>
      </c>
      <c r="K40" s="11">
        <f>SUMPRODUCT('דירוגי נושאים'!AR40:AV40,פרמטרים!$B$23:$F$23)/SUM(פרמטרים!$B$23:$F$23)</f>
        <v/>
      </c>
      <c r="L40" s="11">
        <f>SUMPRODUCT('דירוגי נושאים'!AW40:BA40,פרמטרים!$B$23:$F$23)/SUM(פרמטרים!$B$23:$F$23)</f>
        <v/>
      </c>
      <c r="M40" s="11">
        <f>(C40*פרמטרים!$B$4+D40*פרמטרים!$B$5+E40*פרמטרים!$B$6+F40*פרמטרים!$B$7+G40*פרמטרים!$B$8+H40*פרמטרים!$B$9+I40*פרמטרים!$B$10+J40*פרמטרים!$B$11+K40*פרמטרים!$B$12+L40*פרמטרים!$B$13)/SUM(פרמטרים!$B$4:$B$13)</f>
        <v/>
      </c>
      <c r="N40" s="11">
        <f>SUMPRODUCT('דירוגי תכונות'!C40:F40,פרמטרים!$B$26:$E$26)/SUM(פרמטרים!$B$26:$E$26)</f>
        <v/>
      </c>
      <c r="O40" s="11">
        <f>SUMPRODUCT('דירוגי תכונות'!G40:J40,פרמטרים!$B$26:$E$26)/SUM(פרמטרים!$B$26:$E$26)</f>
        <v/>
      </c>
      <c r="P40" s="11">
        <f>SUMPRODUCT('דירוגי תכונות'!K40:N40,פרמטרים!$B$26:$E$26)/SUM(פרמטרים!$B$26:$E$26)</f>
        <v/>
      </c>
      <c r="Q40" s="11">
        <f>SUMPRODUCT('דירוגי תכונות'!O40:R40,פרמטרים!$B$26:$E$26)/SUM(פרמטרים!$B$26:$E$26)</f>
        <v/>
      </c>
      <c r="R40" s="11">
        <f>SUMPRODUCT('דירוגי תכונות'!S40:V40,פרמטרים!$B$26:$E$26)/SUM(פרמטרים!$B$26:$E$26)</f>
        <v/>
      </c>
      <c r="S40" s="11">
        <f>(N40*פרמטרים!$B$16+O40*פרמטרים!$B$17+P40*פרמטרים!$B$18+Q40*פרמטרים!$B$19+R40*פרמטרים!$B$20)/SUM(פרמטרים!$B$16:$B$20)</f>
        <v/>
      </c>
      <c r="T40" s="11">
        <f>'דירוגי נושאים'!C40</f>
        <v/>
      </c>
      <c r="U40" s="11">
        <f>(פרמטרים!$B$28*M40+(1-פרמטרים!$B$28)*S40)*(1-פרמטרים!$B$29*(5-T40)/4)</f>
        <v/>
      </c>
      <c r="V40" s="12">
        <f>(U40-1)/4*100</f>
        <v/>
      </c>
      <c r="W40" s="11">
        <f>U40+ROW()/10000000</f>
        <v/>
      </c>
      <c r="X40" s="10">
        <f>RANK(W40,$W$2:$W$52)</f>
        <v/>
      </c>
    </row>
    <row r="41">
      <c r="A41" s="10" t="n">
        <v>40</v>
      </c>
      <c r="B41" s="9">
        <f>'דירוגי נושאים'!B41</f>
        <v/>
      </c>
      <c r="C41" s="11">
        <f>SUMPRODUCT('דירוגי נושאים'!D41:H41,פרמטרים!$B$23:$F$23)/SUM(פרמטרים!$B$23:$F$23)</f>
        <v/>
      </c>
      <c r="D41" s="11">
        <f>SUMPRODUCT('דירוגי נושאים'!I41:M41,פרמטרים!$B$23:$F$23)/SUM(פרמטרים!$B$23:$F$23)</f>
        <v/>
      </c>
      <c r="E41" s="11">
        <f>SUMPRODUCT('דירוגי נושאים'!N41:R41,פרמטרים!$B$23:$F$23)/SUM(פרמטרים!$B$23:$F$23)</f>
        <v/>
      </c>
      <c r="F41" s="11">
        <f>SUMPRODUCT('דירוגי נושאים'!S41:W41,פרמטרים!$B$23:$F$23)/SUM(פרמטרים!$B$23:$F$23)</f>
        <v/>
      </c>
      <c r="G41" s="11">
        <f>SUMPRODUCT('דירוגי נושאים'!X41:AB41,פרמטרים!$B$23:$F$23)/SUM(פרמטרים!$B$23:$F$23)</f>
        <v/>
      </c>
      <c r="H41" s="11">
        <f>SUMPRODUCT('דירוגי נושאים'!AC41:AG41,פרמטרים!$B$23:$F$23)/SUM(פרמטרים!$B$23:$F$23)</f>
        <v/>
      </c>
      <c r="I41" s="11">
        <f>SUMPRODUCT('דירוגי נושאים'!AH41:AL41,פרמטרים!$B$23:$F$23)/SUM(פרמטרים!$B$23:$F$23)</f>
        <v/>
      </c>
      <c r="J41" s="11">
        <f>SUMPRODUCT('דירוגי נושאים'!AM41:AQ41,פרמטרים!$B$23:$F$23)/SUM(פרמטרים!$B$23:$F$23)</f>
        <v/>
      </c>
      <c r="K41" s="11">
        <f>SUMPRODUCT('דירוגי נושאים'!AR41:AV41,פרמטרים!$B$23:$F$23)/SUM(פרמטרים!$B$23:$F$23)</f>
        <v/>
      </c>
      <c r="L41" s="11">
        <f>SUMPRODUCT('דירוגי נושאים'!AW41:BA41,פרמטרים!$B$23:$F$23)/SUM(פרמטרים!$B$23:$F$23)</f>
        <v/>
      </c>
      <c r="M41" s="11">
        <f>(C41*פרמטרים!$B$4+D41*פרמטרים!$B$5+E41*פרמטרים!$B$6+F41*פרמטרים!$B$7+G41*פרמטרים!$B$8+H41*פרמטרים!$B$9+I41*פרמטרים!$B$10+J41*פרמטרים!$B$11+K41*פרמטרים!$B$12+L41*פרמטרים!$B$13)/SUM(פרמטרים!$B$4:$B$13)</f>
        <v/>
      </c>
      <c r="N41" s="11">
        <f>SUMPRODUCT('דירוגי תכונות'!C41:F41,פרמטרים!$B$26:$E$26)/SUM(פרמטרים!$B$26:$E$26)</f>
        <v/>
      </c>
      <c r="O41" s="11">
        <f>SUMPRODUCT('דירוגי תכונות'!G41:J41,פרמטרים!$B$26:$E$26)/SUM(פרמטרים!$B$26:$E$26)</f>
        <v/>
      </c>
      <c r="P41" s="11">
        <f>SUMPRODUCT('דירוגי תכונות'!K41:N41,פרמטרים!$B$26:$E$26)/SUM(פרמטרים!$B$26:$E$26)</f>
        <v/>
      </c>
      <c r="Q41" s="11">
        <f>SUMPRODUCT('דירוגי תכונות'!O41:R41,פרמטרים!$B$26:$E$26)/SUM(פרמטרים!$B$26:$E$26)</f>
        <v/>
      </c>
      <c r="R41" s="11">
        <f>SUMPRODUCT('דירוגי תכונות'!S41:V41,פרמטרים!$B$26:$E$26)/SUM(פרמטרים!$B$26:$E$26)</f>
        <v/>
      </c>
      <c r="S41" s="11">
        <f>(N41*פרמטרים!$B$16+O41*פרמטרים!$B$17+P41*פרמטרים!$B$18+Q41*פרמטרים!$B$19+R41*פרמטרים!$B$20)/SUM(פרמטרים!$B$16:$B$20)</f>
        <v/>
      </c>
      <c r="T41" s="11">
        <f>'דירוגי נושאים'!C41</f>
        <v/>
      </c>
      <c r="U41" s="11">
        <f>(פרמטרים!$B$28*M41+(1-פרמטרים!$B$28)*S41)*(1-פרמטרים!$B$29*(5-T41)/4)</f>
        <v/>
      </c>
      <c r="V41" s="12">
        <f>(U41-1)/4*100</f>
        <v/>
      </c>
      <c r="W41" s="11">
        <f>U41+ROW()/10000000</f>
        <v/>
      </c>
      <c r="X41" s="10">
        <f>RANK(W41,$W$2:$W$52)</f>
        <v/>
      </c>
    </row>
    <row r="42">
      <c r="A42" s="10" t="n">
        <v>41</v>
      </c>
      <c r="B42" s="9">
        <f>'דירוגי נושאים'!B42</f>
        <v/>
      </c>
      <c r="C42" s="11">
        <f>SUMPRODUCT('דירוגי נושאים'!D42:H42,פרמטרים!$B$23:$F$23)/SUM(פרמטרים!$B$23:$F$23)</f>
        <v/>
      </c>
      <c r="D42" s="11">
        <f>SUMPRODUCT('דירוגי נושאים'!I42:M42,פרמטרים!$B$23:$F$23)/SUM(פרמטרים!$B$23:$F$23)</f>
        <v/>
      </c>
      <c r="E42" s="11">
        <f>SUMPRODUCT('דירוגי נושאים'!N42:R42,פרמטרים!$B$23:$F$23)/SUM(פרמטרים!$B$23:$F$23)</f>
        <v/>
      </c>
      <c r="F42" s="11">
        <f>SUMPRODUCT('דירוגי נושאים'!S42:W42,פרמטרים!$B$23:$F$23)/SUM(פרמטרים!$B$23:$F$23)</f>
        <v/>
      </c>
      <c r="G42" s="11">
        <f>SUMPRODUCT('דירוגי נושאים'!X42:AB42,פרמטרים!$B$23:$F$23)/SUM(פרמטרים!$B$23:$F$23)</f>
        <v/>
      </c>
      <c r="H42" s="11">
        <f>SUMPRODUCT('דירוגי נושאים'!AC42:AG42,פרמטרים!$B$23:$F$23)/SUM(פרמטרים!$B$23:$F$23)</f>
        <v/>
      </c>
      <c r="I42" s="11">
        <f>SUMPRODUCT('דירוגי נושאים'!AH42:AL42,פרמטרים!$B$23:$F$23)/SUM(פרמטרים!$B$23:$F$23)</f>
        <v/>
      </c>
      <c r="J42" s="11">
        <f>SUMPRODUCT('דירוגי נושאים'!AM42:AQ42,פרמטרים!$B$23:$F$23)/SUM(פרמטרים!$B$23:$F$23)</f>
        <v/>
      </c>
      <c r="K42" s="11">
        <f>SUMPRODUCT('דירוגי נושאים'!AR42:AV42,פרמטרים!$B$23:$F$23)/SUM(פרמטרים!$B$23:$F$23)</f>
        <v/>
      </c>
      <c r="L42" s="11">
        <f>SUMPRODUCT('דירוגי נושאים'!AW42:BA42,פרמטרים!$B$23:$F$23)/SUM(פרמטרים!$B$23:$F$23)</f>
        <v/>
      </c>
      <c r="M42" s="11">
        <f>(C42*פרמטרים!$B$4+D42*פרמטרים!$B$5+E42*פרמטרים!$B$6+F42*פרמטרים!$B$7+G42*פרמטרים!$B$8+H42*פרמטרים!$B$9+I42*פרמטרים!$B$10+J42*פרמטרים!$B$11+K42*פרמטרים!$B$12+L42*פרמטרים!$B$13)/SUM(פרמטרים!$B$4:$B$13)</f>
        <v/>
      </c>
      <c r="N42" s="11">
        <f>SUMPRODUCT('דירוגי תכונות'!C42:F42,פרמטרים!$B$26:$E$26)/SUM(פרמטרים!$B$26:$E$26)</f>
        <v/>
      </c>
      <c r="O42" s="11">
        <f>SUMPRODUCT('דירוגי תכונות'!G42:J42,פרמטרים!$B$26:$E$26)/SUM(פרמטרים!$B$26:$E$26)</f>
        <v/>
      </c>
      <c r="P42" s="11">
        <f>SUMPRODUCT('דירוגי תכונות'!K42:N42,פרמטרים!$B$26:$E$26)/SUM(פרמטרים!$B$26:$E$26)</f>
        <v/>
      </c>
      <c r="Q42" s="11">
        <f>SUMPRODUCT('דירוגי תכונות'!O42:R42,פרמטרים!$B$26:$E$26)/SUM(פרמטרים!$B$26:$E$26)</f>
        <v/>
      </c>
      <c r="R42" s="11">
        <f>SUMPRODUCT('דירוגי תכונות'!S42:V42,פרמטרים!$B$26:$E$26)/SUM(פרמטרים!$B$26:$E$26)</f>
        <v/>
      </c>
      <c r="S42" s="11">
        <f>(N42*פרמטרים!$B$16+O42*פרמטרים!$B$17+P42*פרמטרים!$B$18+Q42*פרמטרים!$B$19+R42*פרמטרים!$B$20)/SUM(פרמטרים!$B$16:$B$20)</f>
        <v/>
      </c>
      <c r="T42" s="11">
        <f>'דירוגי נושאים'!C42</f>
        <v/>
      </c>
      <c r="U42" s="11">
        <f>(פרמטרים!$B$28*M42+(1-פרמטרים!$B$28)*S42)*(1-פרמטרים!$B$29*(5-T42)/4)</f>
        <v/>
      </c>
      <c r="V42" s="12">
        <f>(U42-1)/4*100</f>
        <v/>
      </c>
      <c r="W42" s="11">
        <f>U42+ROW()/10000000</f>
        <v/>
      </c>
      <c r="X42" s="10">
        <f>RANK(W42,$W$2:$W$52)</f>
        <v/>
      </c>
    </row>
    <row r="43">
      <c r="A43" s="10" t="n">
        <v>42</v>
      </c>
      <c r="B43" s="9">
        <f>'דירוגי נושאים'!B43</f>
        <v/>
      </c>
      <c r="C43" s="11">
        <f>SUMPRODUCT('דירוגי נושאים'!D43:H43,פרמטרים!$B$23:$F$23)/SUM(פרמטרים!$B$23:$F$23)</f>
        <v/>
      </c>
      <c r="D43" s="11">
        <f>SUMPRODUCT('דירוגי נושאים'!I43:M43,פרמטרים!$B$23:$F$23)/SUM(פרמטרים!$B$23:$F$23)</f>
        <v/>
      </c>
      <c r="E43" s="11">
        <f>SUMPRODUCT('דירוגי נושאים'!N43:R43,פרמטרים!$B$23:$F$23)/SUM(פרמטרים!$B$23:$F$23)</f>
        <v/>
      </c>
      <c r="F43" s="11">
        <f>SUMPRODUCT('דירוגי נושאים'!S43:W43,פרמטרים!$B$23:$F$23)/SUM(פרמטרים!$B$23:$F$23)</f>
        <v/>
      </c>
      <c r="G43" s="11">
        <f>SUMPRODUCT('דירוגי נושאים'!X43:AB43,פרמטרים!$B$23:$F$23)/SUM(פרמטרים!$B$23:$F$23)</f>
        <v/>
      </c>
      <c r="H43" s="11">
        <f>SUMPRODUCT('דירוגי נושאים'!AC43:AG43,פרמטרים!$B$23:$F$23)/SUM(פרמטרים!$B$23:$F$23)</f>
        <v/>
      </c>
      <c r="I43" s="11">
        <f>SUMPRODUCT('דירוגי נושאים'!AH43:AL43,פרמטרים!$B$23:$F$23)/SUM(פרמטרים!$B$23:$F$23)</f>
        <v/>
      </c>
      <c r="J43" s="11">
        <f>SUMPRODUCT('דירוגי נושאים'!AM43:AQ43,פרמטרים!$B$23:$F$23)/SUM(פרמטרים!$B$23:$F$23)</f>
        <v/>
      </c>
      <c r="K43" s="11">
        <f>SUMPRODUCT('דירוגי נושאים'!AR43:AV43,פרמטרים!$B$23:$F$23)/SUM(פרמטרים!$B$23:$F$23)</f>
        <v/>
      </c>
      <c r="L43" s="11">
        <f>SUMPRODUCT('דירוגי נושאים'!AW43:BA43,פרמטרים!$B$23:$F$23)/SUM(פרמטרים!$B$23:$F$23)</f>
        <v/>
      </c>
      <c r="M43" s="11">
        <f>(C43*פרמטרים!$B$4+D43*פרמטרים!$B$5+E43*פרמטרים!$B$6+F43*פרמטרים!$B$7+G43*פרמטרים!$B$8+H43*פרמטרים!$B$9+I43*פרמטרים!$B$10+J43*פרמטרים!$B$11+K43*פרמטרים!$B$12+L43*פרמטרים!$B$13)/SUM(פרמטרים!$B$4:$B$13)</f>
        <v/>
      </c>
      <c r="N43" s="11">
        <f>SUMPRODUCT('דירוגי תכונות'!C43:F43,פרמטרים!$B$26:$E$26)/SUM(פרמטרים!$B$26:$E$26)</f>
        <v/>
      </c>
      <c r="O43" s="11">
        <f>SUMPRODUCT('דירוגי תכונות'!G43:J43,פרמטרים!$B$26:$E$26)/SUM(פרמטרים!$B$26:$E$26)</f>
        <v/>
      </c>
      <c r="P43" s="11">
        <f>SUMPRODUCT('דירוגי תכונות'!K43:N43,פרמטרים!$B$26:$E$26)/SUM(פרמטרים!$B$26:$E$26)</f>
        <v/>
      </c>
      <c r="Q43" s="11">
        <f>SUMPRODUCT('דירוגי תכונות'!O43:R43,פרמטרים!$B$26:$E$26)/SUM(פרמטרים!$B$26:$E$26)</f>
        <v/>
      </c>
      <c r="R43" s="11">
        <f>SUMPRODUCT('דירוגי תכונות'!S43:V43,פרמטרים!$B$26:$E$26)/SUM(פרמטרים!$B$26:$E$26)</f>
        <v/>
      </c>
      <c r="S43" s="11">
        <f>(N43*פרמטרים!$B$16+O43*פרמטרים!$B$17+P43*פרמטרים!$B$18+Q43*פרמטרים!$B$19+R43*פרמטרים!$B$20)/SUM(פרמטרים!$B$16:$B$20)</f>
        <v/>
      </c>
      <c r="T43" s="11">
        <f>'דירוגי נושאים'!C43</f>
        <v/>
      </c>
      <c r="U43" s="11">
        <f>(פרמטרים!$B$28*M43+(1-פרמטרים!$B$28)*S43)*(1-פרמטרים!$B$29*(5-T43)/4)</f>
        <v/>
      </c>
      <c r="V43" s="12">
        <f>(U43-1)/4*100</f>
        <v/>
      </c>
      <c r="W43" s="11">
        <f>U43+ROW()/10000000</f>
        <v/>
      </c>
      <c r="X43" s="10">
        <f>RANK(W43,$W$2:$W$52)</f>
        <v/>
      </c>
    </row>
    <row r="44">
      <c r="A44" s="10" t="n">
        <v>43</v>
      </c>
      <c r="B44" s="9">
        <f>'דירוגי נושאים'!B44</f>
        <v/>
      </c>
      <c r="C44" s="11">
        <f>SUMPRODUCT('דירוגי נושאים'!D44:H44,פרמטרים!$B$23:$F$23)/SUM(פרמטרים!$B$23:$F$23)</f>
        <v/>
      </c>
      <c r="D44" s="11">
        <f>SUMPRODUCT('דירוגי נושאים'!I44:M44,פרמטרים!$B$23:$F$23)/SUM(פרמטרים!$B$23:$F$23)</f>
        <v/>
      </c>
      <c r="E44" s="11">
        <f>SUMPRODUCT('דירוגי נושאים'!N44:R44,פרמטרים!$B$23:$F$23)/SUM(פרמטרים!$B$23:$F$23)</f>
        <v/>
      </c>
      <c r="F44" s="11">
        <f>SUMPRODUCT('דירוגי נושאים'!S44:W44,פרמטרים!$B$23:$F$23)/SUM(פרמטרים!$B$23:$F$23)</f>
        <v/>
      </c>
      <c r="G44" s="11">
        <f>SUMPRODUCT('דירוגי נושאים'!X44:AB44,פרמטרים!$B$23:$F$23)/SUM(פרמטרים!$B$23:$F$23)</f>
        <v/>
      </c>
      <c r="H44" s="11">
        <f>SUMPRODUCT('דירוגי נושאים'!AC44:AG44,פרמטרים!$B$23:$F$23)/SUM(פרמטרים!$B$23:$F$23)</f>
        <v/>
      </c>
      <c r="I44" s="11">
        <f>SUMPRODUCT('דירוגי נושאים'!AH44:AL44,פרמטרים!$B$23:$F$23)/SUM(פרמטרים!$B$23:$F$23)</f>
        <v/>
      </c>
      <c r="J44" s="11">
        <f>SUMPRODUCT('דירוגי נושאים'!AM44:AQ44,פרמטרים!$B$23:$F$23)/SUM(פרמטרים!$B$23:$F$23)</f>
        <v/>
      </c>
      <c r="K44" s="11">
        <f>SUMPRODUCT('דירוגי נושאים'!AR44:AV44,פרמטרים!$B$23:$F$23)/SUM(פרמטרים!$B$23:$F$23)</f>
        <v/>
      </c>
      <c r="L44" s="11">
        <f>SUMPRODUCT('דירוגי נושאים'!AW44:BA44,פרמטרים!$B$23:$F$23)/SUM(פרמטרים!$B$23:$F$23)</f>
        <v/>
      </c>
      <c r="M44" s="11">
        <f>(C44*פרמטרים!$B$4+D44*פרמטרים!$B$5+E44*פרמטרים!$B$6+F44*פרמטרים!$B$7+G44*פרמטרים!$B$8+H44*פרמטרים!$B$9+I44*פרמטרים!$B$10+J44*פרמטרים!$B$11+K44*פרמטרים!$B$12+L44*פרמטרים!$B$13)/SUM(פרמטרים!$B$4:$B$13)</f>
        <v/>
      </c>
      <c r="N44" s="11">
        <f>SUMPRODUCT('דירוגי תכונות'!C44:F44,פרמטרים!$B$26:$E$26)/SUM(פרמטרים!$B$26:$E$26)</f>
        <v/>
      </c>
      <c r="O44" s="11">
        <f>SUMPRODUCT('דירוגי תכונות'!G44:J44,פרמטרים!$B$26:$E$26)/SUM(פרמטרים!$B$26:$E$26)</f>
        <v/>
      </c>
      <c r="P44" s="11">
        <f>SUMPRODUCT('דירוגי תכונות'!K44:N44,פרמטרים!$B$26:$E$26)/SUM(פרמטרים!$B$26:$E$26)</f>
        <v/>
      </c>
      <c r="Q44" s="11">
        <f>SUMPRODUCT('דירוגי תכונות'!O44:R44,פרמטרים!$B$26:$E$26)/SUM(פרמטרים!$B$26:$E$26)</f>
        <v/>
      </c>
      <c r="R44" s="11">
        <f>SUMPRODUCT('דירוגי תכונות'!S44:V44,פרמטרים!$B$26:$E$26)/SUM(פרמטרים!$B$26:$E$26)</f>
        <v/>
      </c>
      <c r="S44" s="11">
        <f>(N44*פרמטרים!$B$16+O44*פרמטרים!$B$17+P44*פרמטרים!$B$18+Q44*פרמטרים!$B$19+R44*פרמטרים!$B$20)/SUM(פרמטרים!$B$16:$B$20)</f>
        <v/>
      </c>
      <c r="T44" s="11">
        <f>'דירוגי נושאים'!C44</f>
        <v/>
      </c>
      <c r="U44" s="11">
        <f>(פרמטרים!$B$28*M44+(1-פרמטרים!$B$28)*S44)*(1-פרמטרים!$B$29*(5-T44)/4)</f>
        <v/>
      </c>
      <c r="V44" s="12">
        <f>(U44-1)/4*100</f>
        <v/>
      </c>
      <c r="W44" s="11">
        <f>U44+ROW()/10000000</f>
        <v/>
      </c>
      <c r="X44" s="10">
        <f>RANK(W44,$W$2:$W$52)</f>
        <v/>
      </c>
    </row>
    <row r="45">
      <c r="A45" s="10" t="n">
        <v>44</v>
      </c>
      <c r="B45" s="9">
        <f>'דירוגי נושאים'!B45</f>
        <v/>
      </c>
      <c r="C45" s="11">
        <f>SUMPRODUCT('דירוגי נושאים'!D45:H45,פרמטרים!$B$23:$F$23)/SUM(פרמטרים!$B$23:$F$23)</f>
        <v/>
      </c>
      <c r="D45" s="11">
        <f>SUMPRODUCT('דירוגי נושאים'!I45:M45,פרמטרים!$B$23:$F$23)/SUM(פרמטרים!$B$23:$F$23)</f>
        <v/>
      </c>
      <c r="E45" s="11">
        <f>SUMPRODUCT('דירוגי נושאים'!N45:R45,פרמטרים!$B$23:$F$23)/SUM(פרמטרים!$B$23:$F$23)</f>
        <v/>
      </c>
      <c r="F45" s="11">
        <f>SUMPRODUCT('דירוגי נושאים'!S45:W45,פרמטרים!$B$23:$F$23)/SUM(פרמטרים!$B$23:$F$23)</f>
        <v/>
      </c>
      <c r="G45" s="11">
        <f>SUMPRODUCT('דירוגי נושאים'!X45:AB45,פרמטרים!$B$23:$F$23)/SUM(פרמטרים!$B$23:$F$23)</f>
        <v/>
      </c>
      <c r="H45" s="11">
        <f>SUMPRODUCT('דירוגי נושאים'!AC45:AG45,פרמטרים!$B$23:$F$23)/SUM(פרמטרים!$B$23:$F$23)</f>
        <v/>
      </c>
      <c r="I45" s="11">
        <f>SUMPRODUCT('דירוגי נושאים'!AH45:AL45,פרמטרים!$B$23:$F$23)/SUM(פרמטרים!$B$23:$F$23)</f>
        <v/>
      </c>
      <c r="J45" s="11">
        <f>SUMPRODUCT('דירוגי נושאים'!AM45:AQ45,פרמטרים!$B$23:$F$23)/SUM(פרמטרים!$B$23:$F$23)</f>
        <v/>
      </c>
      <c r="K45" s="11">
        <f>SUMPRODUCT('דירוגי נושאים'!AR45:AV45,פרמטרים!$B$23:$F$23)/SUM(פרמטרים!$B$23:$F$23)</f>
        <v/>
      </c>
      <c r="L45" s="11">
        <f>SUMPRODUCT('דירוגי נושאים'!AW45:BA45,פרמטרים!$B$23:$F$23)/SUM(פרמטרים!$B$23:$F$23)</f>
        <v/>
      </c>
      <c r="M45" s="11">
        <f>(C45*פרמטרים!$B$4+D45*פרמטרים!$B$5+E45*פרמטרים!$B$6+F45*פרמטרים!$B$7+G45*פרמטרים!$B$8+H45*פרמטרים!$B$9+I45*פרמטרים!$B$10+J45*פרמטרים!$B$11+K45*פרמטרים!$B$12+L45*פרמטרים!$B$13)/SUM(פרמטרים!$B$4:$B$13)</f>
        <v/>
      </c>
      <c r="N45" s="11">
        <f>SUMPRODUCT('דירוגי תכונות'!C45:F45,פרמטרים!$B$26:$E$26)/SUM(פרמטרים!$B$26:$E$26)</f>
        <v/>
      </c>
      <c r="O45" s="11">
        <f>SUMPRODUCT('דירוגי תכונות'!G45:J45,פרמטרים!$B$26:$E$26)/SUM(פרמטרים!$B$26:$E$26)</f>
        <v/>
      </c>
      <c r="P45" s="11">
        <f>SUMPRODUCT('דירוגי תכונות'!K45:N45,פרמטרים!$B$26:$E$26)/SUM(פרמטרים!$B$26:$E$26)</f>
        <v/>
      </c>
      <c r="Q45" s="11">
        <f>SUMPRODUCT('דירוגי תכונות'!O45:R45,פרמטרים!$B$26:$E$26)/SUM(פרמטרים!$B$26:$E$26)</f>
        <v/>
      </c>
      <c r="R45" s="11">
        <f>SUMPRODUCT('דירוגי תכונות'!S45:V45,פרמטרים!$B$26:$E$26)/SUM(פרמטרים!$B$26:$E$26)</f>
        <v/>
      </c>
      <c r="S45" s="11">
        <f>(N45*פרמטרים!$B$16+O45*פרמטרים!$B$17+P45*פרמטרים!$B$18+Q45*פרמטרים!$B$19+R45*פרמטרים!$B$20)/SUM(פרמטרים!$B$16:$B$20)</f>
        <v/>
      </c>
      <c r="T45" s="11">
        <f>'דירוגי נושאים'!C45</f>
        <v/>
      </c>
      <c r="U45" s="11">
        <f>(פרמטרים!$B$28*M45+(1-פרמטרים!$B$28)*S45)*(1-פרמטרים!$B$29*(5-T45)/4)</f>
        <v/>
      </c>
      <c r="V45" s="12">
        <f>(U45-1)/4*100</f>
        <v/>
      </c>
      <c r="W45" s="11">
        <f>U45+ROW()/10000000</f>
        <v/>
      </c>
      <c r="X45" s="10">
        <f>RANK(W45,$W$2:$W$52)</f>
        <v/>
      </c>
    </row>
    <row r="46">
      <c r="A46" s="10" t="n">
        <v>45</v>
      </c>
      <c r="B46" s="9">
        <f>'דירוגי נושאים'!B46</f>
        <v/>
      </c>
      <c r="C46" s="11">
        <f>SUMPRODUCT('דירוגי נושאים'!D46:H46,פרמטרים!$B$23:$F$23)/SUM(פרמטרים!$B$23:$F$23)</f>
        <v/>
      </c>
      <c r="D46" s="11">
        <f>SUMPRODUCT('דירוגי נושאים'!I46:M46,פרמטרים!$B$23:$F$23)/SUM(פרמטרים!$B$23:$F$23)</f>
        <v/>
      </c>
      <c r="E46" s="11">
        <f>SUMPRODUCT('דירוגי נושאים'!N46:R46,פרמטרים!$B$23:$F$23)/SUM(פרמטרים!$B$23:$F$23)</f>
        <v/>
      </c>
      <c r="F46" s="11">
        <f>SUMPRODUCT('דירוגי נושאים'!S46:W46,פרמטרים!$B$23:$F$23)/SUM(פרמטרים!$B$23:$F$23)</f>
        <v/>
      </c>
      <c r="G46" s="11">
        <f>SUMPRODUCT('דירוגי נושאים'!X46:AB46,פרמטרים!$B$23:$F$23)/SUM(פרמטרים!$B$23:$F$23)</f>
        <v/>
      </c>
      <c r="H46" s="11">
        <f>SUMPRODUCT('דירוגי נושאים'!AC46:AG46,פרמטרים!$B$23:$F$23)/SUM(פרמטרים!$B$23:$F$23)</f>
        <v/>
      </c>
      <c r="I46" s="11">
        <f>SUMPRODUCT('דירוגי נושאים'!AH46:AL46,פרמטרים!$B$23:$F$23)/SUM(פרמטרים!$B$23:$F$23)</f>
        <v/>
      </c>
      <c r="J46" s="11">
        <f>SUMPRODUCT('דירוגי נושאים'!AM46:AQ46,פרמטרים!$B$23:$F$23)/SUM(פרמטרים!$B$23:$F$23)</f>
        <v/>
      </c>
      <c r="K46" s="11">
        <f>SUMPRODUCT('דירוגי נושאים'!AR46:AV46,פרמטרים!$B$23:$F$23)/SUM(פרמטרים!$B$23:$F$23)</f>
        <v/>
      </c>
      <c r="L46" s="11">
        <f>SUMPRODUCT('דירוגי נושאים'!AW46:BA46,פרמטרים!$B$23:$F$23)/SUM(פרמטרים!$B$23:$F$23)</f>
        <v/>
      </c>
      <c r="M46" s="11">
        <f>(C46*פרמטרים!$B$4+D46*פרמטרים!$B$5+E46*פרמטרים!$B$6+F46*פרמטרים!$B$7+G46*פרמטרים!$B$8+H46*פרמטרים!$B$9+I46*פרמטרים!$B$10+J46*פרמטרים!$B$11+K46*פרמטרים!$B$12+L46*פרמטרים!$B$13)/SUM(פרמטרים!$B$4:$B$13)</f>
        <v/>
      </c>
      <c r="N46" s="11">
        <f>SUMPRODUCT('דירוגי תכונות'!C46:F46,פרמטרים!$B$26:$E$26)/SUM(פרמטרים!$B$26:$E$26)</f>
        <v/>
      </c>
      <c r="O46" s="11">
        <f>SUMPRODUCT('דירוגי תכונות'!G46:J46,פרמטרים!$B$26:$E$26)/SUM(פרמטרים!$B$26:$E$26)</f>
        <v/>
      </c>
      <c r="P46" s="11">
        <f>SUMPRODUCT('דירוגי תכונות'!K46:N46,פרמטרים!$B$26:$E$26)/SUM(פרמטרים!$B$26:$E$26)</f>
        <v/>
      </c>
      <c r="Q46" s="11">
        <f>SUMPRODUCT('דירוגי תכונות'!O46:R46,פרמטרים!$B$26:$E$26)/SUM(פרמטרים!$B$26:$E$26)</f>
        <v/>
      </c>
      <c r="R46" s="11">
        <f>SUMPRODUCT('דירוגי תכונות'!S46:V46,פרמטרים!$B$26:$E$26)/SUM(פרמטרים!$B$26:$E$26)</f>
        <v/>
      </c>
      <c r="S46" s="11">
        <f>(N46*פרמטרים!$B$16+O46*פרמטרים!$B$17+P46*פרמטרים!$B$18+Q46*פרמטרים!$B$19+R46*פרמטרים!$B$20)/SUM(פרמטרים!$B$16:$B$20)</f>
        <v/>
      </c>
      <c r="T46" s="11">
        <f>'דירוגי נושאים'!C46</f>
        <v/>
      </c>
      <c r="U46" s="11">
        <f>(פרמטרים!$B$28*M46+(1-פרמטרים!$B$28)*S46)*(1-פרמטרים!$B$29*(5-T46)/4)</f>
        <v/>
      </c>
      <c r="V46" s="12">
        <f>(U46-1)/4*100</f>
        <v/>
      </c>
      <c r="W46" s="11">
        <f>U46+ROW()/10000000</f>
        <v/>
      </c>
      <c r="X46" s="10">
        <f>RANK(W46,$W$2:$W$52)</f>
        <v/>
      </c>
    </row>
    <row r="47">
      <c r="A47" s="10" t="n">
        <v>46</v>
      </c>
      <c r="B47" s="9">
        <f>'דירוגי נושאים'!B47</f>
        <v/>
      </c>
      <c r="C47" s="11">
        <f>SUMPRODUCT('דירוגי נושאים'!D47:H47,פרמטרים!$B$23:$F$23)/SUM(פרמטרים!$B$23:$F$23)</f>
        <v/>
      </c>
      <c r="D47" s="11">
        <f>SUMPRODUCT('דירוגי נושאים'!I47:M47,פרמטרים!$B$23:$F$23)/SUM(פרמטרים!$B$23:$F$23)</f>
        <v/>
      </c>
      <c r="E47" s="11">
        <f>SUMPRODUCT('דירוגי נושאים'!N47:R47,פרמטרים!$B$23:$F$23)/SUM(פרמטרים!$B$23:$F$23)</f>
        <v/>
      </c>
      <c r="F47" s="11">
        <f>SUMPRODUCT('דירוגי נושאים'!S47:W47,פרמטרים!$B$23:$F$23)/SUM(פרמטרים!$B$23:$F$23)</f>
        <v/>
      </c>
      <c r="G47" s="11">
        <f>SUMPRODUCT('דירוגי נושאים'!X47:AB47,פרמטרים!$B$23:$F$23)/SUM(פרמטרים!$B$23:$F$23)</f>
        <v/>
      </c>
      <c r="H47" s="11">
        <f>SUMPRODUCT('דירוגי נושאים'!AC47:AG47,פרמטרים!$B$23:$F$23)/SUM(פרמטרים!$B$23:$F$23)</f>
        <v/>
      </c>
      <c r="I47" s="11">
        <f>SUMPRODUCT('דירוגי נושאים'!AH47:AL47,פרמטרים!$B$23:$F$23)/SUM(פרמטרים!$B$23:$F$23)</f>
        <v/>
      </c>
      <c r="J47" s="11">
        <f>SUMPRODUCT('דירוגי נושאים'!AM47:AQ47,פרמטרים!$B$23:$F$23)/SUM(פרמטרים!$B$23:$F$23)</f>
        <v/>
      </c>
      <c r="K47" s="11">
        <f>SUMPRODUCT('דירוגי נושאים'!AR47:AV47,פרמטרים!$B$23:$F$23)/SUM(פרמטרים!$B$23:$F$23)</f>
        <v/>
      </c>
      <c r="L47" s="11">
        <f>SUMPRODUCT('דירוגי נושאים'!AW47:BA47,פרמטרים!$B$23:$F$23)/SUM(פרמטרים!$B$23:$F$23)</f>
        <v/>
      </c>
      <c r="M47" s="11">
        <f>(C47*פרמטרים!$B$4+D47*פרמטרים!$B$5+E47*פרמטרים!$B$6+F47*פרמטרים!$B$7+G47*פרמטרים!$B$8+H47*פרמטרים!$B$9+I47*פרמטרים!$B$10+J47*פרמטרים!$B$11+K47*פרמטרים!$B$12+L47*פרמטרים!$B$13)/SUM(פרמטרים!$B$4:$B$13)</f>
        <v/>
      </c>
      <c r="N47" s="11">
        <f>SUMPRODUCT('דירוגי תכונות'!C47:F47,פרמטרים!$B$26:$E$26)/SUM(פרמטרים!$B$26:$E$26)</f>
        <v/>
      </c>
      <c r="O47" s="11">
        <f>SUMPRODUCT('דירוגי תכונות'!G47:J47,פרמטרים!$B$26:$E$26)/SUM(פרמטרים!$B$26:$E$26)</f>
        <v/>
      </c>
      <c r="P47" s="11">
        <f>SUMPRODUCT('דירוגי תכונות'!K47:N47,פרמטרים!$B$26:$E$26)/SUM(פרמטרים!$B$26:$E$26)</f>
        <v/>
      </c>
      <c r="Q47" s="11">
        <f>SUMPRODUCT('דירוגי תכונות'!O47:R47,פרמטרים!$B$26:$E$26)/SUM(פרמטרים!$B$26:$E$26)</f>
        <v/>
      </c>
      <c r="R47" s="11">
        <f>SUMPRODUCT('דירוגי תכונות'!S47:V47,פרמטרים!$B$26:$E$26)/SUM(פרמטרים!$B$26:$E$26)</f>
        <v/>
      </c>
      <c r="S47" s="11">
        <f>(N47*פרמטרים!$B$16+O47*פרמטרים!$B$17+P47*פרמטרים!$B$18+Q47*פרמטרים!$B$19+R47*פרמטרים!$B$20)/SUM(פרמטרים!$B$16:$B$20)</f>
        <v/>
      </c>
      <c r="T47" s="11">
        <f>'דירוגי נושאים'!C47</f>
        <v/>
      </c>
      <c r="U47" s="11">
        <f>(פרמטרים!$B$28*M47+(1-פרמטרים!$B$28)*S47)*(1-פרמטרים!$B$29*(5-T47)/4)</f>
        <v/>
      </c>
      <c r="V47" s="12">
        <f>(U47-1)/4*100</f>
        <v/>
      </c>
      <c r="W47" s="11">
        <f>U47+ROW()/10000000</f>
        <v/>
      </c>
      <c r="X47" s="10">
        <f>RANK(W47,$W$2:$W$52)</f>
        <v/>
      </c>
    </row>
    <row r="48">
      <c r="A48" s="10" t="n">
        <v>47</v>
      </c>
      <c r="B48" s="9">
        <f>'דירוגי נושאים'!B48</f>
        <v/>
      </c>
      <c r="C48" s="11">
        <f>SUMPRODUCT('דירוגי נושאים'!D48:H48,פרמטרים!$B$23:$F$23)/SUM(פרמטרים!$B$23:$F$23)</f>
        <v/>
      </c>
      <c r="D48" s="11">
        <f>SUMPRODUCT('דירוגי נושאים'!I48:M48,פרמטרים!$B$23:$F$23)/SUM(פרמטרים!$B$23:$F$23)</f>
        <v/>
      </c>
      <c r="E48" s="11">
        <f>SUMPRODUCT('דירוגי נושאים'!N48:R48,פרמטרים!$B$23:$F$23)/SUM(פרמטרים!$B$23:$F$23)</f>
        <v/>
      </c>
      <c r="F48" s="11">
        <f>SUMPRODUCT('דירוגי נושאים'!S48:W48,פרמטרים!$B$23:$F$23)/SUM(פרמטרים!$B$23:$F$23)</f>
        <v/>
      </c>
      <c r="G48" s="11">
        <f>SUMPRODUCT('דירוגי נושאים'!X48:AB48,פרמטרים!$B$23:$F$23)/SUM(פרמטרים!$B$23:$F$23)</f>
        <v/>
      </c>
      <c r="H48" s="11">
        <f>SUMPRODUCT('דירוגי נושאים'!AC48:AG48,פרמטרים!$B$23:$F$23)/SUM(פרמטרים!$B$23:$F$23)</f>
        <v/>
      </c>
      <c r="I48" s="11">
        <f>SUMPRODUCT('דירוגי נושאים'!AH48:AL48,פרמטרים!$B$23:$F$23)/SUM(פרמטרים!$B$23:$F$23)</f>
        <v/>
      </c>
      <c r="J48" s="11">
        <f>SUMPRODUCT('דירוגי נושאים'!AM48:AQ48,פרמטרים!$B$23:$F$23)/SUM(פרמטרים!$B$23:$F$23)</f>
        <v/>
      </c>
      <c r="K48" s="11">
        <f>SUMPRODUCT('דירוגי נושאים'!AR48:AV48,פרמטרים!$B$23:$F$23)/SUM(פרמטרים!$B$23:$F$23)</f>
        <v/>
      </c>
      <c r="L48" s="11">
        <f>SUMPRODUCT('דירוגי נושאים'!AW48:BA48,פרמטרים!$B$23:$F$23)/SUM(פרמטרים!$B$23:$F$23)</f>
        <v/>
      </c>
      <c r="M48" s="11">
        <f>(C48*פרמטרים!$B$4+D48*פרמטרים!$B$5+E48*פרמטרים!$B$6+F48*פרמטרים!$B$7+G48*פרמטרים!$B$8+H48*פרמטרים!$B$9+I48*פרמטרים!$B$10+J48*פרמטרים!$B$11+K48*פרמטרים!$B$12+L48*פרמטרים!$B$13)/SUM(פרמטרים!$B$4:$B$13)</f>
        <v/>
      </c>
      <c r="N48" s="11">
        <f>SUMPRODUCT('דירוגי תכונות'!C48:F48,פרמטרים!$B$26:$E$26)/SUM(פרמטרים!$B$26:$E$26)</f>
        <v/>
      </c>
      <c r="O48" s="11">
        <f>SUMPRODUCT('דירוגי תכונות'!G48:J48,פרמטרים!$B$26:$E$26)/SUM(פרמטרים!$B$26:$E$26)</f>
        <v/>
      </c>
      <c r="P48" s="11">
        <f>SUMPRODUCT('דירוגי תכונות'!K48:N48,פרמטרים!$B$26:$E$26)/SUM(פרמטרים!$B$26:$E$26)</f>
        <v/>
      </c>
      <c r="Q48" s="11">
        <f>SUMPRODUCT('דירוגי תכונות'!O48:R48,פרמטרים!$B$26:$E$26)/SUM(פרמטרים!$B$26:$E$26)</f>
        <v/>
      </c>
      <c r="R48" s="11">
        <f>SUMPRODUCT('דירוגי תכונות'!S48:V48,פרמטרים!$B$26:$E$26)/SUM(פרמטרים!$B$26:$E$26)</f>
        <v/>
      </c>
      <c r="S48" s="11">
        <f>(N48*פרמטרים!$B$16+O48*פרמטרים!$B$17+P48*פרמטרים!$B$18+Q48*פרמטרים!$B$19+R48*פרמטרים!$B$20)/SUM(פרמטרים!$B$16:$B$20)</f>
        <v/>
      </c>
      <c r="T48" s="11">
        <f>'דירוגי נושאים'!C48</f>
        <v/>
      </c>
      <c r="U48" s="11">
        <f>(פרמטרים!$B$28*M48+(1-פרמטרים!$B$28)*S48)*(1-פרמטרים!$B$29*(5-T48)/4)</f>
        <v/>
      </c>
      <c r="V48" s="12">
        <f>(U48-1)/4*100</f>
        <v/>
      </c>
      <c r="W48" s="11">
        <f>U48+ROW()/10000000</f>
        <v/>
      </c>
      <c r="X48" s="10">
        <f>RANK(W48,$W$2:$W$52)</f>
        <v/>
      </c>
    </row>
    <row r="49">
      <c r="A49" s="10" t="n">
        <v>48</v>
      </c>
      <c r="B49" s="9">
        <f>'דירוגי נושאים'!B49</f>
        <v/>
      </c>
      <c r="C49" s="11">
        <f>SUMPRODUCT('דירוגי נושאים'!D49:H49,פרמטרים!$B$23:$F$23)/SUM(פרמטרים!$B$23:$F$23)</f>
        <v/>
      </c>
      <c r="D49" s="11">
        <f>SUMPRODUCT('דירוגי נושאים'!I49:M49,פרמטרים!$B$23:$F$23)/SUM(פרמטרים!$B$23:$F$23)</f>
        <v/>
      </c>
      <c r="E49" s="11">
        <f>SUMPRODUCT('דירוגי נושאים'!N49:R49,פרמטרים!$B$23:$F$23)/SUM(פרמטרים!$B$23:$F$23)</f>
        <v/>
      </c>
      <c r="F49" s="11">
        <f>SUMPRODUCT('דירוגי נושאים'!S49:W49,פרמטרים!$B$23:$F$23)/SUM(פרמטרים!$B$23:$F$23)</f>
        <v/>
      </c>
      <c r="G49" s="11">
        <f>SUMPRODUCT('דירוגי נושאים'!X49:AB49,פרמטרים!$B$23:$F$23)/SUM(פרמטרים!$B$23:$F$23)</f>
        <v/>
      </c>
      <c r="H49" s="11">
        <f>SUMPRODUCT('דירוגי נושאים'!AC49:AG49,פרמטרים!$B$23:$F$23)/SUM(פרמטרים!$B$23:$F$23)</f>
        <v/>
      </c>
      <c r="I49" s="11">
        <f>SUMPRODUCT('דירוגי נושאים'!AH49:AL49,פרמטרים!$B$23:$F$23)/SUM(פרמטרים!$B$23:$F$23)</f>
        <v/>
      </c>
      <c r="J49" s="11">
        <f>SUMPRODUCT('דירוגי נושאים'!AM49:AQ49,פרמטרים!$B$23:$F$23)/SUM(פרמטרים!$B$23:$F$23)</f>
        <v/>
      </c>
      <c r="K49" s="11">
        <f>SUMPRODUCT('דירוגי נושאים'!AR49:AV49,פרמטרים!$B$23:$F$23)/SUM(פרמטרים!$B$23:$F$23)</f>
        <v/>
      </c>
      <c r="L49" s="11">
        <f>SUMPRODUCT('דירוגי נושאים'!AW49:BA49,פרמטרים!$B$23:$F$23)/SUM(פרמטרים!$B$23:$F$23)</f>
        <v/>
      </c>
      <c r="M49" s="11">
        <f>(C49*פרמטרים!$B$4+D49*פרמטרים!$B$5+E49*פרמטרים!$B$6+F49*פרמטרים!$B$7+G49*פרמטרים!$B$8+H49*פרמטרים!$B$9+I49*פרמטרים!$B$10+J49*פרמטרים!$B$11+K49*פרמטרים!$B$12+L49*פרמטרים!$B$13)/SUM(פרמטרים!$B$4:$B$13)</f>
        <v/>
      </c>
      <c r="N49" s="11">
        <f>SUMPRODUCT('דירוגי תכונות'!C49:F49,פרמטרים!$B$26:$E$26)/SUM(פרמטרים!$B$26:$E$26)</f>
        <v/>
      </c>
      <c r="O49" s="11">
        <f>SUMPRODUCT('דירוגי תכונות'!G49:J49,פרמטרים!$B$26:$E$26)/SUM(פרמטרים!$B$26:$E$26)</f>
        <v/>
      </c>
      <c r="P49" s="11">
        <f>SUMPRODUCT('דירוגי תכונות'!K49:N49,פרמטרים!$B$26:$E$26)/SUM(פרמטרים!$B$26:$E$26)</f>
        <v/>
      </c>
      <c r="Q49" s="11">
        <f>SUMPRODUCT('דירוגי תכונות'!O49:R49,פרמטרים!$B$26:$E$26)/SUM(פרמטרים!$B$26:$E$26)</f>
        <v/>
      </c>
      <c r="R49" s="11">
        <f>SUMPRODUCT('דירוגי תכונות'!S49:V49,פרמטרים!$B$26:$E$26)/SUM(פרמטרים!$B$26:$E$26)</f>
        <v/>
      </c>
      <c r="S49" s="11">
        <f>(N49*פרמטרים!$B$16+O49*פרמטרים!$B$17+P49*פרמטרים!$B$18+Q49*פרמטרים!$B$19+R49*פרמטרים!$B$20)/SUM(פרמטרים!$B$16:$B$20)</f>
        <v/>
      </c>
      <c r="T49" s="11">
        <f>'דירוגי נושאים'!C49</f>
        <v/>
      </c>
      <c r="U49" s="11">
        <f>(פרמטרים!$B$28*M49+(1-פרמטרים!$B$28)*S49)*(1-פרמטרים!$B$29*(5-T49)/4)</f>
        <v/>
      </c>
      <c r="V49" s="12">
        <f>(U49-1)/4*100</f>
        <v/>
      </c>
      <c r="W49" s="11">
        <f>U49+ROW()/10000000</f>
        <v/>
      </c>
      <c r="X49" s="10">
        <f>RANK(W49,$W$2:$W$52)</f>
        <v/>
      </c>
    </row>
    <row r="50">
      <c r="A50" s="10" t="n">
        <v>49</v>
      </c>
      <c r="B50" s="9">
        <f>'דירוגי נושאים'!B50</f>
        <v/>
      </c>
      <c r="C50" s="11">
        <f>SUMPRODUCT('דירוגי נושאים'!D50:H50,פרמטרים!$B$23:$F$23)/SUM(פרמטרים!$B$23:$F$23)</f>
        <v/>
      </c>
      <c r="D50" s="11">
        <f>SUMPRODUCT('דירוגי נושאים'!I50:M50,פרמטרים!$B$23:$F$23)/SUM(פרמטרים!$B$23:$F$23)</f>
        <v/>
      </c>
      <c r="E50" s="11">
        <f>SUMPRODUCT('דירוגי נושאים'!N50:R50,פרמטרים!$B$23:$F$23)/SUM(פרמטרים!$B$23:$F$23)</f>
        <v/>
      </c>
      <c r="F50" s="11">
        <f>SUMPRODUCT('דירוגי נושאים'!S50:W50,פרמטרים!$B$23:$F$23)/SUM(פרמטרים!$B$23:$F$23)</f>
        <v/>
      </c>
      <c r="G50" s="11">
        <f>SUMPRODUCT('דירוגי נושאים'!X50:AB50,פרמטרים!$B$23:$F$23)/SUM(פרמטרים!$B$23:$F$23)</f>
        <v/>
      </c>
      <c r="H50" s="11">
        <f>SUMPRODUCT('דירוגי נושאים'!AC50:AG50,פרמטרים!$B$23:$F$23)/SUM(פרמטרים!$B$23:$F$23)</f>
        <v/>
      </c>
      <c r="I50" s="11">
        <f>SUMPRODUCT('דירוגי נושאים'!AH50:AL50,פרמטרים!$B$23:$F$23)/SUM(פרמטרים!$B$23:$F$23)</f>
        <v/>
      </c>
      <c r="J50" s="11">
        <f>SUMPRODUCT('דירוגי נושאים'!AM50:AQ50,פרמטרים!$B$23:$F$23)/SUM(פרמטרים!$B$23:$F$23)</f>
        <v/>
      </c>
      <c r="K50" s="11">
        <f>SUMPRODUCT('דירוגי נושאים'!AR50:AV50,פרמטרים!$B$23:$F$23)/SUM(פרמטרים!$B$23:$F$23)</f>
        <v/>
      </c>
      <c r="L50" s="11">
        <f>SUMPRODUCT('דירוגי נושאים'!AW50:BA50,פרמטרים!$B$23:$F$23)/SUM(פרמטרים!$B$23:$F$23)</f>
        <v/>
      </c>
      <c r="M50" s="11">
        <f>(C50*פרמטרים!$B$4+D50*פרמטרים!$B$5+E50*פרמטרים!$B$6+F50*פרמטרים!$B$7+G50*פרמטרים!$B$8+H50*פרמטרים!$B$9+I50*פרמטרים!$B$10+J50*פרמטרים!$B$11+K50*פרמטרים!$B$12+L50*פרמטרים!$B$13)/SUM(פרמטרים!$B$4:$B$13)</f>
        <v/>
      </c>
      <c r="N50" s="11">
        <f>SUMPRODUCT('דירוגי תכונות'!C50:F50,פרמטרים!$B$26:$E$26)/SUM(פרמטרים!$B$26:$E$26)</f>
        <v/>
      </c>
      <c r="O50" s="11">
        <f>SUMPRODUCT('דירוגי תכונות'!G50:J50,פרמטרים!$B$26:$E$26)/SUM(פרמטרים!$B$26:$E$26)</f>
        <v/>
      </c>
      <c r="P50" s="11">
        <f>SUMPRODUCT('דירוגי תכונות'!K50:N50,פרמטרים!$B$26:$E$26)/SUM(פרמטרים!$B$26:$E$26)</f>
        <v/>
      </c>
      <c r="Q50" s="11">
        <f>SUMPRODUCT('דירוגי תכונות'!O50:R50,פרמטרים!$B$26:$E$26)/SUM(פרמטרים!$B$26:$E$26)</f>
        <v/>
      </c>
      <c r="R50" s="11">
        <f>SUMPRODUCT('דירוגי תכונות'!S50:V50,פרמטרים!$B$26:$E$26)/SUM(פרמטרים!$B$26:$E$26)</f>
        <v/>
      </c>
      <c r="S50" s="11">
        <f>(N50*פרמטרים!$B$16+O50*פרמטרים!$B$17+P50*פרמטרים!$B$18+Q50*פרמטרים!$B$19+R50*פרמטרים!$B$20)/SUM(פרמטרים!$B$16:$B$20)</f>
        <v/>
      </c>
      <c r="T50" s="11">
        <f>'דירוגי נושאים'!C50</f>
        <v/>
      </c>
      <c r="U50" s="11">
        <f>(פרמטרים!$B$28*M50+(1-פרמטרים!$B$28)*S50)*(1-פרמטרים!$B$29*(5-T50)/4)</f>
        <v/>
      </c>
      <c r="V50" s="12">
        <f>(U50-1)/4*100</f>
        <v/>
      </c>
      <c r="W50" s="11">
        <f>U50+ROW()/10000000</f>
        <v/>
      </c>
      <c r="X50" s="10">
        <f>RANK(W50,$W$2:$W$52)</f>
        <v/>
      </c>
    </row>
    <row r="51">
      <c r="A51" s="10" t="n">
        <v>50</v>
      </c>
      <c r="B51" s="9">
        <f>'דירוגי נושאים'!B51</f>
        <v/>
      </c>
      <c r="C51" s="11">
        <f>SUMPRODUCT('דירוגי נושאים'!D51:H51,פרמטרים!$B$23:$F$23)/SUM(פרמטרים!$B$23:$F$23)</f>
        <v/>
      </c>
      <c r="D51" s="11">
        <f>SUMPRODUCT('דירוגי נושאים'!I51:M51,פרמטרים!$B$23:$F$23)/SUM(פרמטרים!$B$23:$F$23)</f>
        <v/>
      </c>
      <c r="E51" s="11">
        <f>SUMPRODUCT('דירוגי נושאים'!N51:R51,פרמטרים!$B$23:$F$23)/SUM(פרמטרים!$B$23:$F$23)</f>
        <v/>
      </c>
      <c r="F51" s="11">
        <f>SUMPRODUCT('דירוגי נושאים'!S51:W51,פרמטרים!$B$23:$F$23)/SUM(פרמטרים!$B$23:$F$23)</f>
        <v/>
      </c>
      <c r="G51" s="11">
        <f>SUMPRODUCT('דירוגי נושאים'!X51:AB51,פרמטרים!$B$23:$F$23)/SUM(פרמטרים!$B$23:$F$23)</f>
        <v/>
      </c>
      <c r="H51" s="11">
        <f>SUMPRODUCT('דירוגי נושאים'!AC51:AG51,פרמטרים!$B$23:$F$23)/SUM(פרמטרים!$B$23:$F$23)</f>
        <v/>
      </c>
      <c r="I51" s="11">
        <f>SUMPRODUCT('דירוגי נושאים'!AH51:AL51,פרמטרים!$B$23:$F$23)/SUM(פרמטרים!$B$23:$F$23)</f>
        <v/>
      </c>
      <c r="J51" s="11">
        <f>SUMPRODUCT('דירוגי נושאים'!AM51:AQ51,פרמטרים!$B$23:$F$23)/SUM(פרמטרים!$B$23:$F$23)</f>
        <v/>
      </c>
      <c r="K51" s="11">
        <f>SUMPRODUCT('דירוגי נושאים'!AR51:AV51,פרמטרים!$B$23:$F$23)/SUM(פרמטרים!$B$23:$F$23)</f>
        <v/>
      </c>
      <c r="L51" s="11">
        <f>SUMPRODUCT('דירוגי נושאים'!AW51:BA51,פרמטרים!$B$23:$F$23)/SUM(פרמטרים!$B$23:$F$23)</f>
        <v/>
      </c>
      <c r="M51" s="11">
        <f>(C51*פרמטרים!$B$4+D51*פרמטרים!$B$5+E51*פרמטרים!$B$6+F51*פרמטרים!$B$7+G51*פרמטרים!$B$8+H51*פרמטרים!$B$9+I51*פרמטרים!$B$10+J51*פרמטרים!$B$11+K51*פרמטרים!$B$12+L51*פרמטרים!$B$13)/SUM(פרמטרים!$B$4:$B$13)</f>
        <v/>
      </c>
      <c r="N51" s="11">
        <f>SUMPRODUCT('דירוגי תכונות'!C51:F51,פרמטרים!$B$26:$E$26)/SUM(פרמטרים!$B$26:$E$26)</f>
        <v/>
      </c>
      <c r="O51" s="11">
        <f>SUMPRODUCT('דירוגי תכונות'!G51:J51,פרמטרים!$B$26:$E$26)/SUM(פרמטרים!$B$26:$E$26)</f>
        <v/>
      </c>
      <c r="P51" s="11">
        <f>SUMPRODUCT('דירוגי תכונות'!K51:N51,פרמטרים!$B$26:$E$26)/SUM(פרמטרים!$B$26:$E$26)</f>
        <v/>
      </c>
      <c r="Q51" s="11">
        <f>SUMPRODUCT('דירוגי תכונות'!O51:R51,פרמטרים!$B$26:$E$26)/SUM(פרמטרים!$B$26:$E$26)</f>
        <v/>
      </c>
      <c r="R51" s="11">
        <f>SUMPRODUCT('דירוגי תכונות'!S51:V51,פרמטרים!$B$26:$E$26)/SUM(פרמטרים!$B$26:$E$26)</f>
        <v/>
      </c>
      <c r="S51" s="11">
        <f>(N51*פרמטרים!$B$16+O51*פרמטרים!$B$17+P51*פרמטרים!$B$18+Q51*פרמטרים!$B$19+R51*פרמטרים!$B$20)/SUM(פרמטרים!$B$16:$B$20)</f>
        <v/>
      </c>
      <c r="T51" s="11">
        <f>'דירוגי נושאים'!C51</f>
        <v/>
      </c>
      <c r="U51" s="11">
        <f>(פרמטרים!$B$28*M51+(1-פרמטרים!$B$28)*S51)*(1-פרמטרים!$B$29*(5-T51)/4)</f>
        <v/>
      </c>
      <c r="V51" s="12">
        <f>(U51-1)/4*100</f>
        <v/>
      </c>
      <c r="W51" s="11">
        <f>U51+ROW()/10000000</f>
        <v/>
      </c>
      <c r="X51" s="10">
        <f>RANK(W51,$W$2:$W$52)</f>
        <v/>
      </c>
    </row>
    <row r="52">
      <c r="A52" s="10" t="n">
        <v>51</v>
      </c>
      <c r="B52" s="9">
        <f>'דירוגי נושאים'!B52</f>
        <v/>
      </c>
      <c r="C52" s="11">
        <f>SUMPRODUCT('דירוגי נושאים'!D52:H52,פרמטרים!$B$23:$F$23)/SUM(פרמטרים!$B$23:$F$23)</f>
        <v/>
      </c>
      <c r="D52" s="11">
        <f>SUMPRODUCT('דירוגי נושאים'!I52:M52,פרמטרים!$B$23:$F$23)/SUM(פרמטרים!$B$23:$F$23)</f>
        <v/>
      </c>
      <c r="E52" s="11">
        <f>SUMPRODUCT('דירוגי נושאים'!N52:R52,פרמטרים!$B$23:$F$23)/SUM(פרמטרים!$B$23:$F$23)</f>
        <v/>
      </c>
      <c r="F52" s="11">
        <f>SUMPRODUCT('דירוגי נושאים'!S52:W52,פרמטרים!$B$23:$F$23)/SUM(פרמטרים!$B$23:$F$23)</f>
        <v/>
      </c>
      <c r="G52" s="11">
        <f>SUMPRODUCT('דירוגי נושאים'!X52:AB52,פרמטרים!$B$23:$F$23)/SUM(פרמטרים!$B$23:$F$23)</f>
        <v/>
      </c>
      <c r="H52" s="11">
        <f>SUMPRODUCT('דירוגי נושאים'!AC52:AG52,פרמטרים!$B$23:$F$23)/SUM(פרמטרים!$B$23:$F$23)</f>
        <v/>
      </c>
      <c r="I52" s="11">
        <f>SUMPRODUCT('דירוגי נושאים'!AH52:AL52,פרמטרים!$B$23:$F$23)/SUM(פרמטרים!$B$23:$F$23)</f>
        <v/>
      </c>
      <c r="J52" s="11">
        <f>SUMPRODUCT('דירוגי נושאים'!AM52:AQ52,פרמטרים!$B$23:$F$23)/SUM(פרמטרים!$B$23:$F$23)</f>
        <v/>
      </c>
      <c r="K52" s="11">
        <f>SUMPRODUCT('דירוגי נושאים'!AR52:AV52,פרמטרים!$B$23:$F$23)/SUM(פרמטרים!$B$23:$F$23)</f>
        <v/>
      </c>
      <c r="L52" s="11">
        <f>SUMPRODUCT('דירוגי נושאים'!AW52:BA52,פרמטרים!$B$23:$F$23)/SUM(פרמטרים!$B$23:$F$23)</f>
        <v/>
      </c>
      <c r="M52" s="11">
        <f>(C52*פרמטרים!$B$4+D52*פרמטרים!$B$5+E52*פרמטרים!$B$6+F52*פרמטרים!$B$7+G52*פרמטרים!$B$8+H52*פרמטרים!$B$9+I52*פרמטרים!$B$10+J52*פרמטרים!$B$11+K52*פרמטרים!$B$12+L52*פרמטרים!$B$13)/SUM(פרמטרים!$B$4:$B$13)</f>
        <v/>
      </c>
      <c r="N52" s="11">
        <f>SUMPRODUCT('דירוגי תכונות'!C52:F52,פרמטרים!$B$26:$E$26)/SUM(פרמטרים!$B$26:$E$26)</f>
        <v/>
      </c>
      <c r="O52" s="11">
        <f>SUMPRODUCT('דירוגי תכונות'!G52:J52,פרמטרים!$B$26:$E$26)/SUM(פרמטרים!$B$26:$E$26)</f>
        <v/>
      </c>
      <c r="P52" s="11">
        <f>SUMPRODUCT('דירוגי תכונות'!K52:N52,פרמטרים!$B$26:$E$26)/SUM(פרמטרים!$B$26:$E$26)</f>
        <v/>
      </c>
      <c r="Q52" s="11">
        <f>SUMPRODUCT('דירוגי תכונות'!O52:R52,פרמטרים!$B$26:$E$26)/SUM(פרמטרים!$B$26:$E$26)</f>
        <v/>
      </c>
      <c r="R52" s="11">
        <f>SUMPRODUCT('דירוגי תכונות'!S52:V52,פרמטרים!$B$26:$E$26)/SUM(פרמטרים!$B$26:$E$26)</f>
        <v/>
      </c>
      <c r="S52" s="11">
        <f>(N52*פרמטרים!$B$16+O52*פרמטרים!$B$17+P52*פרמטרים!$B$18+Q52*פרמטרים!$B$19+R52*פרמטרים!$B$20)/SUM(פרמטרים!$B$16:$B$20)</f>
        <v/>
      </c>
      <c r="T52" s="11">
        <f>'דירוגי נושאים'!C52</f>
        <v/>
      </c>
      <c r="U52" s="11">
        <f>(פרמטרים!$B$28*M52+(1-פרמטרים!$B$28)*S52)*(1-פרמטרים!$B$29*(5-T52)/4)</f>
        <v/>
      </c>
      <c r="V52" s="12">
        <f>(U52-1)/4*100</f>
        <v/>
      </c>
      <c r="W52" s="11">
        <f>U52+ROW()/10000000</f>
        <v/>
      </c>
      <c r="X52" s="10">
        <f>RANK(W52,$W$2:$W$52)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דירוג המועמדים לפי הפרמטרים שלך (עדכני אוטומטית)</t>
        </is>
      </c>
    </row>
    <row r="3">
      <c r="A3" s="8" t="inlineStr">
        <is>
          <t>מקום</t>
        </is>
      </c>
      <c r="B3" s="8" t="inlineStr">
        <is>
          <t>מועמד/ת</t>
        </is>
      </c>
      <c r="C3" s="8" t="inlineStr">
        <is>
          <t>ציון (0-100)</t>
        </is>
      </c>
      <c r="D3" s="8" t="inlineStr">
        <is>
          <t>ציון נושאים</t>
        </is>
      </c>
      <c r="E3" s="8" t="inlineStr">
        <is>
          <t>ציון תכונות</t>
        </is>
      </c>
      <c r="F3" s="8" t="inlineStr">
        <is>
          <t>ביסוס</t>
        </is>
      </c>
    </row>
    <row r="4">
      <c r="A4" s="13" t="n">
        <v>1</v>
      </c>
      <c r="B4" s="13">
        <f>INDEX(חישוב!$B:$B,MATCH(LARGE(חישוב!$W$2:$W$52,1),חישוב!$W$2:$W$52,0)+1)</f>
        <v/>
      </c>
      <c r="C4" s="14">
        <f>INDEX(חישוב!$V:$V,MATCH(LARGE(חישוב!$W$2:$W$52,1),חישוב!$W$2:$W$52,0)+1)</f>
        <v/>
      </c>
      <c r="D4" s="15">
        <f>INDEX(חישוב!$M:$M,MATCH(LARGE(חישוב!$W$2:$W$52,1),חישוב!$W$2:$W$52,0)+1)</f>
        <v/>
      </c>
      <c r="E4" s="15">
        <f>INDEX(חישוב!$S:$S,MATCH(LARGE(חישוב!$W$2:$W$52,1),חישוב!$W$2:$W$52,0)+1)</f>
        <v/>
      </c>
      <c r="F4" s="15">
        <f>INDEX(חישוב!$T:$T,MATCH(LARGE(חישוב!$W$2:$W$52,1),חישוב!$W$2:$W$52,0)+1)</f>
        <v/>
      </c>
    </row>
    <row r="5">
      <c r="A5" s="13" t="n">
        <v>2</v>
      </c>
      <c r="B5" s="13">
        <f>INDEX(חישוב!$B:$B,MATCH(LARGE(חישוב!$W$2:$W$52,2),חישוב!$W$2:$W$52,0)+1)</f>
        <v/>
      </c>
      <c r="C5" s="14">
        <f>INDEX(חישוב!$V:$V,MATCH(LARGE(חישוב!$W$2:$W$52,2),חישוב!$W$2:$W$52,0)+1)</f>
        <v/>
      </c>
      <c r="D5" s="15">
        <f>INDEX(חישוב!$M:$M,MATCH(LARGE(חישוב!$W$2:$W$52,2),חישוב!$W$2:$W$52,0)+1)</f>
        <v/>
      </c>
      <c r="E5" s="15">
        <f>INDEX(חישוב!$S:$S,MATCH(LARGE(חישוב!$W$2:$W$52,2),חישוב!$W$2:$W$52,0)+1)</f>
        <v/>
      </c>
      <c r="F5" s="15">
        <f>INDEX(חישוב!$T:$T,MATCH(LARGE(חישוב!$W$2:$W$52,2),חישוב!$W$2:$W$52,0)+1)</f>
        <v/>
      </c>
    </row>
    <row r="6">
      <c r="A6" s="13" t="n">
        <v>3</v>
      </c>
      <c r="B6" s="13">
        <f>INDEX(חישוב!$B:$B,MATCH(LARGE(חישוב!$W$2:$W$52,3),חישוב!$W$2:$W$52,0)+1)</f>
        <v/>
      </c>
      <c r="C6" s="14">
        <f>INDEX(חישוב!$V:$V,MATCH(LARGE(חישוב!$W$2:$W$52,3),חישוב!$W$2:$W$52,0)+1)</f>
        <v/>
      </c>
      <c r="D6" s="15">
        <f>INDEX(חישוב!$M:$M,MATCH(LARGE(חישוב!$W$2:$W$52,3),חישוב!$W$2:$W$52,0)+1)</f>
        <v/>
      </c>
      <c r="E6" s="15">
        <f>INDEX(חישוב!$S:$S,MATCH(LARGE(חישוב!$W$2:$W$52,3),חישוב!$W$2:$W$52,0)+1)</f>
        <v/>
      </c>
      <c r="F6" s="15">
        <f>INDEX(חישוב!$T:$T,MATCH(LARGE(חישוב!$W$2:$W$52,3),חישוב!$W$2:$W$52,0)+1)</f>
        <v/>
      </c>
    </row>
    <row r="7">
      <c r="A7" s="13" t="n">
        <v>4</v>
      </c>
      <c r="B7" s="13">
        <f>INDEX(חישוב!$B:$B,MATCH(LARGE(חישוב!$W$2:$W$52,4),חישוב!$W$2:$W$52,0)+1)</f>
        <v/>
      </c>
      <c r="C7" s="14">
        <f>INDEX(חישוב!$V:$V,MATCH(LARGE(חישוב!$W$2:$W$52,4),חישוב!$W$2:$W$52,0)+1)</f>
        <v/>
      </c>
      <c r="D7" s="15">
        <f>INDEX(חישוב!$M:$M,MATCH(LARGE(חישוב!$W$2:$W$52,4),חישוב!$W$2:$W$52,0)+1)</f>
        <v/>
      </c>
      <c r="E7" s="15">
        <f>INDEX(חישוב!$S:$S,MATCH(LARGE(חישוב!$W$2:$W$52,4),חישוב!$W$2:$W$52,0)+1)</f>
        <v/>
      </c>
      <c r="F7" s="15">
        <f>INDEX(חישוב!$T:$T,MATCH(LARGE(חישוב!$W$2:$W$52,4),חישוב!$W$2:$W$52,0)+1)</f>
        <v/>
      </c>
    </row>
    <row r="8">
      <c r="A8" s="13" t="n">
        <v>5</v>
      </c>
      <c r="B8" s="13">
        <f>INDEX(חישוב!$B:$B,MATCH(LARGE(חישוב!$W$2:$W$52,5),חישוב!$W$2:$W$52,0)+1)</f>
        <v/>
      </c>
      <c r="C8" s="14">
        <f>INDEX(חישוב!$V:$V,MATCH(LARGE(חישוב!$W$2:$W$52,5),חישוב!$W$2:$W$52,0)+1)</f>
        <v/>
      </c>
      <c r="D8" s="15">
        <f>INDEX(חישוב!$M:$M,MATCH(LARGE(חישוב!$W$2:$W$52,5),חישוב!$W$2:$W$52,0)+1)</f>
        <v/>
      </c>
      <c r="E8" s="15">
        <f>INDEX(חישוב!$S:$S,MATCH(LARGE(חישוב!$W$2:$W$52,5),חישוב!$W$2:$W$52,0)+1)</f>
        <v/>
      </c>
      <c r="F8" s="15">
        <f>INDEX(חישוב!$T:$T,MATCH(LARGE(חישוב!$W$2:$W$52,5),חישוב!$W$2:$W$52,0)+1)</f>
        <v/>
      </c>
    </row>
    <row r="9">
      <c r="A9" s="13" t="n">
        <v>6</v>
      </c>
      <c r="B9" s="13">
        <f>INDEX(חישוב!$B:$B,MATCH(LARGE(חישוב!$W$2:$W$52,6),חישוב!$W$2:$W$52,0)+1)</f>
        <v/>
      </c>
      <c r="C9" s="14">
        <f>INDEX(חישוב!$V:$V,MATCH(LARGE(חישוב!$W$2:$W$52,6),חישוב!$W$2:$W$52,0)+1)</f>
        <v/>
      </c>
      <c r="D9" s="15">
        <f>INDEX(חישוב!$M:$M,MATCH(LARGE(חישוב!$W$2:$W$52,6),חישוב!$W$2:$W$52,0)+1)</f>
        <v/>
      </c>
      <c r="E9" s="15">
        <f>INDEX(חישוב!$S:$S,MATCH(LARGE(חישוב!$W$2:$W$52,6),חישוב!$W$2:$W$52,0)+1)</f>
        <v/>
      </c>
      <c r="F9" s="15">
        <f>INDEX(חישוב!$T:$T,MATCH(LARGE(חישוב!$W$2:$W$52,6),חישוב!$W$2:$W$52,0)+1)</f>
        <v/>
      </c>
    </row>
    <row r="10">
      <c r="A10" s="13" t="n">
        <v>7</v>
      </c>
      <c r="B10" s="13">
        <f>INDEX(חישוב!$B:$B,MATCH(LARGE(חישוב!$W$2:$W$52,7),חישוב!$W$2:$W$52,0)+1)</f>
        <v/>
      </c>
      <c r="C10" s="14">
        <f>INDEX(חישוב!$V:$V,MATCH(LARGE(חישוב!$W$2:$W$52,7),חישוב!$W$2:$W$52,0)+1)</f>
        <v/>
      </c>
      <c r="D10" s="15">
        <f>INDEX(חישוב!$M:$M,MATCH(LARGE(חישוב!$W$2:$W$52,7),חישוב!$W$2:$W$52,0)+1)</f>
        <v/>
      </c>
      <c r="E10" s="15">
        <f>INDEX(חישוב!$S:$S,MATCH(LARGE(חישוב!$W$2:$W$52,7),חישוב!$W$2:$W$52,0)+1)</f>
        <v/>
      </c>
      <c r="F10" s="15">
        <f>INDEX(חישוב!$T:$T,MATCH(LARGE(חישוב!$W$2:$W$52,7),חישוב!$W$2:$W$52,0)+1)</f>
        <v/>
      </c>
    </row>
    <row r="11">
      <c r="A11" s="13" t="n">
        <v>8</v>
      </c>
      <c r="B11" s="13">
        <f>INDEX(חישוב!$B:$B,MATCH(LARGE(חישוב!$W$2:$W$52,8),חישוב!$W$2:$W$52,0)+1)</f>
        <v/>
      </c>
      <c r="C11" s="14">
        <f>INDEX(חישוב!$V:$V,MATCH(LARGE(חישוב!$W$2:$W$52,8),חישוב!$W$2:$W$52,0)+1)</f>
        <v/>
      </c>
      <c r="D11" s="15">
        <f>INDEX(חישוב!$M:$M,MATCH(LARGE(חישוב!$W$2:$W$52,8),חישוב!$W$2:$W$52,0)+1)</f>
        <v/>
      </c>
      <c r="E11" s="15">
        <f>INDEX(חישוב!$S:$S,MATCH(LARGE(חישוב!$W$2:$W$52,8),חישוב!$W$2:$W$52,0)+1)</f>
        <v/>
      </c>
      <c r="F11" s="15">
        <f>INDEX(חישוב!$T:$T,MATCH(LARGE(חישוב!$W$2:$W$52,8),חישוב!$W$2:$W$52,0)+1)</f>
        <v/>
      </c>
    </row>
    <row r="12">
      <c r="A12" s="16" t="n">
        <v>9</v>
      </c>
      <c r="B12" s="16">
        <f>INDEX(חישוב!$B:$B,MATCH(LARGE(חישוב!$W$2:$W$52,9),חישוב!$W$2:$W$52,0)+1)</f>
        <v/>
      </c>
      <c r="C12" s="17">
        <f>INDEX(חישוב!$V:$V,MATCH(LARGE(חישוב!$W$2:$W$52,9),חישוב!$W$2:$W$52,0)+1)</f>
        <v/>
      </c>
      <c r="D12" s="18">
        <f>INDEX(חישוב!$M:$M,MATCH(LARGE(חישוב!$W$2:$W$52,9),חישוב!$W$2:$W$52,0)+1)</f>
        <v/>
      </c>
      <c r="E12" s="18">
        <f>INDEX(חישוב!$S:$S,MATCH(LARGE(חישוב!$W$2:$W$52,9),חישוב!$W$2:$W$52,0)+1)</f>
        <v/>
      </c>
      <c r="F12" s="18">
        <f>INDEX(חישוב!$T:$T,MATCH(LARGE(חישוב!$W$2:$W$52,9),חישוב!$W$2:$W$52,0)+1)</f>
        <v/>
      </c>
    </row>
    <row r="13">
      <c r="A13" s="16" t="n">
        <v>10</v>
      </c>
      <c r="B13" s="16">
        <f>INDEX(חישוב!$B:$B,MATCH(LARGE(חישוב!$W$2:$W$52,10),חישוב!$W$2:$W$52,0)+1)</f>
        <v/>
      </c>
      <c r="C13" s="17">
        <f>INDEX(חישוב!$V:$V,MATCH(LARGE(חישוב!$W$2:$W$52,10),חישוב!$W$2:$W$52,0)+1)</f>
        <v/>
      </c>
      <c r="D13" s="18">
        <f>INDEX(חישוב!$M:$M,MATCH(LARGE(חישוב!$W$2:$W$52,10),חישוב!$W$2:$W$52,0)+1)</f>
        <v/>
      </c>
      <c r="E13" s="18">
        <f>INDEX(חישוב!$S:$S,MATCH(LARGE(חישוב!$W$2:$W$52,10),חישוב!$W$2:$W$52,0)+1)</f>
        <v/>
      </c>
      <c r="F13" s="18">
        <f>INDEX(חישוב!$T:$T,MATCH(LARGE(חישוב!$W$2:$W$52,10),חישוב!$W$2:$W$52,0)+1)</f>
        <v/>
      </c>
    </row>
    <row r="14">
      <c r="A14" s="16" t="n">
        <v>11</v>
      </c>
      <c r="B14" s="16">
        <f>INDEX(חישוב!$B:$B,MATCH(LARGE(חישוב!$W$2:$W$52,11),חישוב!$W$2:$W$52,0)+1)</f>
        <v/>
      </c>
      <c r="C14" s="17">
        <f>INDEX(חישוב!$V:$V,MATCH(LARGE(חישוב!$W$2:$W$52,11),חישוב!$W$2:$W$52,0)+1)</f>
        <v/>
      </c>
      <c r="D14" s="18">
        <f>INDEX(חישוב!$M:$M,MATCH(LARGE(חישוב!$W$2:$W$52,11),חישוב!$W$2:$W$52,0)+1)</f>
        <v/>
      </c>
      <c r="E14" s="18">
        <f>INDEX(חישוב!$S:$S,MATCH(LARGE(חישוב!$W$2:$W$52,11),חישוב!$W$2:$W$52,0)+1)</f>
        <v/>
      </c>
      <c r="F14" s="18">
        <f>INDEX(חישוב!$T:$T,MATCH(LARGE(חישוב!$W$2:$W$52,11),חישוב!$W$2:$W$52,0)+1)</f>
        <v/>
      </c>
    </row>
    <row r="15">
      <c r="A15" s="16" t="n">
        <v>12</v>
      </c>
      <c r="B15" s="16">
        <f>INDEX(חישוב!$B:$B,MATCH(LARGE(חישוב!$W$2:$W$52,12),חישוב!$W$2:$W$52,0)+1)</f>
        <v/>
      </c>
      <c r="C15" s="17">
        <f>INDEX(חישוב!$V:$V,MATCH(LARGE(חישוב!$W$2:$W$52,12),חישוב!$W$2:$W$52,0)+1)</f>
        <v/>
      </c>
      <c r="D15" s="18">
        <f>INDEX(חישוב!$M:$M,MATCH(LARGE(חישוב!$W$2:$W$52,12),חישוב!$W$2:$W$52,0)+1)</f>
        <v/>
      </c>
      <c r="E15" s="18">
        <f>INDEX(חישוב!$S:$S,MATCH(LARGE(חישוב!$W$2:$W$52,12),חישוב!$W$2:$W$52,0)+1)</f>
        <v/>
      </c>
      <c r="F15" s="18">
        <f>INDEX(חישוב!$T:$T,MATCH(LARGE(חישוב!$W$2:$W$52,12),חישוב!$W$2:$W$52,0)+1)</f>
        <v/>
      </c>
    </row>
    <row r="16">
      <c r="A16" s="16" t="n">
        <v>13</v>
      </c>
      <c r="B16" s="16">
        <f>INDEX(חישוב!$B:$B,MATCH(LARGE(חישוב!$W$2:$W$52,13),חישוב!$W$2:$W$52,0)+1)</f>
        <v/>
      </c>
      <c r="C16" s="17">
        <f>INDEX(חישוב!$V:$V,MATCH(LARGE(חישוב!$W$2:$W$52,13),חישוב!$W$2:$W$52,0)+1)</f>
        <v/>
      </c>
      <c r="D16" s="18">
        <f>INDEX(חישוב!$M:$M,MATCH(LARGE(חישוב!$W$2:$W$52,13),חישוב!$W$2:$W$52,0)+1)</f>
        <v/>
      </c>
      <c r="E16" s="18">
        <f>INDEX(חישוב!$S:$S,MATCH(LARGE(חישוב!$W$2:$W$52,13),חישוב!$W$2:$W$52,0)+1)</f>
        <v/>
      </c>
      <c r="F16" s="18">
        <f>INDEX(חישוב!$T:$T,MATCH(LARGE(חישוב!$W$2:$W$52,13),חישוב!$W$2:$W$52,0)+1)</f>
        <v/>
      </c>
    </row>
    <row r="17">
      <c r="A17" s="16" t="n">
        <v>14</v>
      </c>
      <c r="B17" s="16">
        <f>INDEX(חישוב!$B:$B,MATCH(LARGE(חישוב!$W$2:$W$52,14),חישוב!$W$2:$W$52,0)+1)</f>
        <v/>
      </c>
      <c r="C17" s="17">
        <f>INDEX(חישוב!$V:$V,MATCH(LARGE(חישוב!$W$2:$W$52,14),חישוב!$W$2:$W$52,0)+1)</f>
        <v/>
      </c>
      <c r="D17" s="18">
        <f>INDEX(חישוב!$M:$M,MATCH(LARGE(חישוב!$W$2:$W$52,14),חישוב!$W$2:$W$52,0)+1)</f>
        <v/>
      </c>
      <c r="E17" s="18">
        <f>INDEX(חישוב!$S:$S,MATCH(LARGE(חישוב!$W$2:$W$52,14),חישוב!$W$2:$W$52,0)+1)</f>
        <v/>
      </c>
      <c r="F17" s="18">
        <f>INDEX(חישוב!$T:$T,MATCH(LARGE(חישוב!$W$2:$W$52,14),חישוב!$W$2:$W$52,0)+1)</f>
        <v/>
      </c>
    </row>
    <row r="18">
      <c r="A18" s="16" t="n">
        <v>15</v>
      </c>
      <c r="B18" s="16">
        <f>INDEX(חישוב!$B:$B,MATCH(LARGE(חישוב!$W$2:$W$52,15),חישוב!$W$2:$W$52,0)+1)</f>
        <v/>
      </c>
      <c r="C18" s="17">
        <f>INDEX(חישוב!$V:$V,MATCH(LARGE(חישוב!$W$2:$W$52,15),חישוב!$W$2:$W$52,0)+1)</f>
        <v/>
      </c>
      <c r="D18" s="18">
        <f>INDEX(חישוב!$M:$M,MATCH(LARGE(חישוב!$W$2:$W$52,15),חישוב!$W$2:$W$52,0)+1)</f>
        <v/>
      </c>
      <c r="E18" s="18">
        <f>INDEX(חישוב!$S:$S,MATCH(LARGE(חישוב!$W$2:$W$52,15),חישוב!$W$2:$W$52,0)+1)</f>
        <v/>
      </c>
      <c r="F18" s="18">
        <f>INDEX(חישוב!$T:$T,MATCH(LARGE(חישוב!$W$2:$W$52,15),חישוב!$W$2:$W$52,0)+1)</f>
        <v/>
      </c>
    </row>
    <row r="19">
      <c r="A19" s="16" t="n">
        <v>16</v>
      </c>
      <c r="B19" s="16">
        <f>INDEX(חישוב!$B:$B,MATCH(LARGE(חישוב!$W$2:$W$52,16),חישוב!$W$2:$W$52,0)+1)</f>
        <v/>
      </c>
      <c r="C19" s="17">
        <f>INDEX(חישוב!$V:$V,MATCH(LARGE(חישוב!$W$2:$W$52,16),חישוב!$W$2:$W$52,0)+1)</f>
        <v/>
      </c>
      <c r="D19" s="18">
        <f>INDEX(חישוב!$M:$M,MATCH(LARGE(חישוב!$W$2:$W$52,16),חישוב!$W$2:$W$52,0)+1)</f>
        <v/>
      </c>
      <c r="E19" s="18">
        <f>INDEX(חישוב!$S:$S,MATCH(LARGE(חישוב!$W$2:$W$52,16),חישוב!$W$2:$W$52,0)+1)</f>
        <v/>
      </c>
      <c r="F19" s="18">
        <f>INDEX(חישוב!$T:$T,MATCH(LARGE(חישוב!$W$2:$W$52,16),חישוב!$W$2:$W$52,0)+1)</f>
        <v/>
      </c>
    </row>
    <row r="20">
      <c r="A20" s="16" t="n">
        <v>17</v>
      </c>
      <c r="B20" s="16">
        <f>INDEX(חישוב!$B:$B,MATCH(LARGE(חישוב!$W$2:$W$52,17),חישוב!$W$2:$W$52,0)+1)</f>
        <v/>
      </c>
      <c r="C20" s="17">
        <f>INDEX(חישוב!$V:$V,MATCH(LARGE(חישוב!$W$2:$W$52,17),חישוב!$W$2:$W$52,0)+1)</f>
        <v/>
      </c>
      <c r="D20" s="18">
        <f>INDEX(חישוב!$M:$M,MATCH(LARGE(חישוב!$W$2:$W$52,17),חישוב!$W$2:$W$52,0)+1)</f>
        <v/>
      </c>
      <c r="E20" s="18">
        <f>INDEX(חישוב!$S:$S,MATCH(LARGE(חישוב!$W$2:$W$52,17),חישוב!$W$2:$W$52,0)+1)</f>
        <v/>
      </c>
      <c r="F20" s="18">
        <f>INDEX(חישוב!$T:$T,MATCH(LARGE(חישוב!$W$2:$W$52,17),חישוב!$W$2:$W$52,0)+1)</f>
        <v/>
      </c>
    </row>
    <row r="21">
      <c r="A21" s="16" t="n">
        <v>18</v>
      </c>
      <c r="B21" s="16">
        <f>INDEX(חישוב!$B:$B,MATCH(LARGE(חישוב!$W$2:$W$52,18),חישוב!$W$2:$W$52,0)+1)</f>
        <v/>
      </c>
      <c r="C21" s="17">
        <f>INDEX(חישוב!$V:$V,MATCH(LARGE(חישוב!$W$2:$W$52,18),חישוב!$W$2:$W$52,0)+1)</f>
        <v/>
      </c>
      <c r="D21" s="18">
        <f>INDEX(חישוב!$M:$M,MATCH(LARGE(חישוב!$W$2:$W$52,18),חישוב!$W$2:$W$52,0)+1)</f>
        <v/>
      </c>
      <c r="E21" s="18">
        <f>INDEX(חישוב!$S:$S,MATCH(LARGE(חישוב!$W$2:$W$52,18),חישוב!$W$2:$W$52,0)+1)</f>
        <v/>
      </c>
      <c r="F21" s="18">
        <f>INDEX(חישוב!$T:$T,MATCH(LARGE(חישוב!$W$2:$W$52,18),חישוב!$W$2:$W$52,0)+1)</f>
        <v/>
      </c>
    </row>
    <row r="22">
      <c r="A22" s="16" t="n">
        <v>19</v>
      </c>
      <c r="B22" s="16">
        <f>INDEX(חישוב!$B:$B,MATCH(LARGE(חישוב!$W$2:$W$52,19),חישוב!$W$2:$W$52,0)+1)</f>
        <v/>
      </c>
      <c r="C22" s="17">
        <f>INDEX(חישוב!$V:$V,MATCH(LARGE(חישוב!$W$2:$W$52,19),חישוב!$W$2:$W$52,0)+1)</f>
        <v/>
      </c>
      <c r="D22" s="18">
        <f>INDEX(חישוב!$M:$M,MATCH(LARGE(חישוב!$W$2:$W$52,19),חישוב!$W$2:$W$52,0)+1)</f>
        <v/>
      </c>
      <c r="E22" s="18">
        <f>INDEX(חישוב!$S:$S,MATCH(LARGE(חישוב!$W$2:$W$52,19),חישוב!$W$2:$W$52,0)+1)</f>
        <v/>
      </c>
      <c r="F22" s="18">
        <f>INDEX(חישוב!$T:$T,MATCH(LARGE(חישוב!$W$2:$W$52,19),חישוב!$W$2:$W$52,0)+1)</f>
        <v/>
      </c>
    </row>
    <row r="23">
      <c r="A23" s="16" t="n">
        <v>20</v>
      </c>
      <c r="B23" s="16">
        <f>INDEX(חישוב!$B:$B,MATCH(LARGE(חישוב!$W$2:$W$52,20),חישוב!$W$2:$W$52,0)+1)</f>
        <v/>
      </c>
      <c r="C23" s="17">
        <f>INDEX(חישוב!$V:$V,MATCH(LARGE(חישוב!$W$2:$W$52,20),חישוב!$W$2:$W$52,0)+1)</f>
        <v/>
      </c>
      <c r="D23" s="18">
        <f>INDEX(חישוב!$M:$M,MATCH(LARGE(חישוב!$W$2:$W$52,20),חישוב!$W$2:$W$52,0)+1)</f>
        <v/>
      </c>
      <c r="E23" s="18">
        <f>INDEX(חישוב!$S:$S,MATCH(LARGE(חישוב!$W$2:$W$52,20),חישוב!$W$2:$W$52,0)+1)</f>
        <v/>
      </c>
      <c r="F23" s="18">
        <f>INDEX(חישוב!$T:$T,MATCH(LARGE(חישוב!$W$2:$W$52,20),חישוב!$W$2:$W$52,0)+1)</f>
        <v/>
      </c>
    </row>
    <row r="24">
      <c r="A24" s="16" t="n">
        <v>21</v>
      </c>
      <c r="B24" s="16">
        <f>INDEX(חישוב!$B:$B,MATCH(LARGE(חישוב!$W$2:$W$52,21),חישוב!$W$2:$W$52,0)+1)</f>
        <v/>
      </c>
      <c r="C24" s="17">
        <f>INDEX(חישוב!$V:$V,MATCH(LARGE(חישוב!$W$2:$W$52,21),חישוב!$W$2:$W$52,0)+1)</f>
        <v/>
      </c>
      <c r="D24" s="18">
        <f>INDEX(חישוב!$M:$M,MATCH(LARGE(חישוב!$W$2:$W$52,21),חישוב!$W$2:$W$52,0)+1)</f>
        <v/>
      </c>
      <c r="E24" s="18">
        <f>INDEX(חישוב!$S:$S,MATCH(LARGE(חישוב!$W$2:$W$52,21),חישוב!$W$2:$W$52,0)+1)</f>
        <v/>
      </c>
      <c r="F24" s="18">
        <f>INDEX(חישוב!$T:$T,MATCH(LARGE(חישוב!$W$2:$W$52,21),חישוב!$W$2:$W$52,0)+1)</f>
        <v/>
      </c>
    </row>
    <row r="25">
      <c r="A25" s="16" t="n">
        <v>22</v>
      </c>
      <c r="B25" s="16">
        <f>INDEX(חישוב!$B:$B,MATCH(LARGE(חישוב!$W$2:$W$52,22),חישוב!$W$2:$W$52,0)+1)</f>
        <v/>
      </c>
      <c r="C25" s="17">
        <f>INDEX(חישוב!$V:$V,MATCH(LARGE(חישוב!$W$2:$W$52,22),חישוב!$W$2:$W$52,0)+1)</f>
        <v/>
      </c>
      <c r="D25" s="18">
        <f>INDEX(חישוב!$M:$M,MATCH(LARGE(חישוב!$W$2:$W$52,22),חישוב!$W$2:$W$52,0)+1)</f>
        <v/>
      </c>
      <c r="E25" s="18">
        <f>INDEX(חישוב!$S:$S,MATCH(LARGE(חישוב!$W$2:$W$52,22),חישוב!$W$2:$W$52,0)+1)</f>
        <v/>
      </c>
      <c r="F25" s="18">
        <f>INDEX(חישוב!$T:$T,MATCH(LARGE(חישוב!$W$2:$W$52,22),חישוב!$W$2:$W$52,0)+1)</f>
        <v/>
      </c>
    </row>
    <row r="26">
      <c r="A26" s="16" t="n">
        <v>23</v>
      </c>
      <c r="B26" s="16">
        <f>INDEX(חישוב!$B:$B,MATCH(LARGE(חישוב!$W$2:$W$52,23),חישוב!$W$2:$W$52,0)+1)</f>
        <v/>
      </c>
      <c r="C26" s="17">
        <f>INDEX(חישוב!$V:$V,MATCH(LARGE(חישוב!$W$2:$W$52,23),חישוב!$W$2:$W$52,0)+1)</f>
        <v/>
      </c>
      <c r="D26" s="18">
        <f>INDEX(חישוב!$M:$M,MATCH(LARGE(חישוב!$W$2:$W$52,23),חישוב!$W$2:$W$52,0)+1)</f>
        <v/>
      </c>
      <c r="E26" s="18">
        <f>INDEX(חישוב!$S:$S,MATCH(LARGE(חישוב!$W$2:$W$52,23),חישוב!$W$2:$W$52,0)+1)</f>
        <v/>
      </c>
      <c r="F26" s="18">
        <f>INDEX(חישוב!$T:$T,MATCH(LARGE(חישוב!$W$2:$W$52,23),חישוב!$W$2:$W$52,0)+1)</f>
        <v/>
      </c>
    </row>
    <row r="27">
      <c r="A27" s="16" t="n">
        <v>24</v>
      </c>
      <c r="B27" s="16">
        <f>INDEX(חישוב!$B:$B,MATCH(LARGE(חישוב!$W$2:$W$52,24),חישוב!$W$2:$W$52,0)+1)</f>
        <v/>
      </c>
      <c r="C27" s="17">
        <f>INDEX(חישוב!$V:$V,MATCH(LARGE(חישוב!$W$2:$W$52,24),חישוב!$W$2:$W$52,0)+1)</f>
        <v/>
      </c>
      <c r="D27" s="18">
        <f>INDEX(חישוב!$M:$M,MATCH(LARGE(חישוב!$W$2:$W$52,24),חישוב!$W$2:$W$52,0)+1)</f>
        <v/>
      </c>
      <c r="E27" s="18">
        <f>INDEX(חישוב!$S:$S,MATCH(LARGE(חישוב!$W$2:$W$52,24),חישוב!$W$2:$W$52,0)+1)</f>
        <v/>
      </c>
      <c r="F27" s="18">
        <f>INDEX(חישוב!$T:$T,MATCH(LARGE(חישוב!$W$2:$W$52,24),חישוב!$W$2:$W$52,0)+1)</f>
        <v/>
      </c>
    </row>
    <row r="28">
      <c r="A28" s="16" t="n">
        <v>25</v>
      </c>
      <c r="B28" s="16">
        <f>INDEX(חישוב!$B:$B,MATCH(LARGE(חישוב!$W$2:$W$52,25),חישוב!$W$2:$W$52,0)+1)</f>
        <v/>
      </c>
      <c r="C28" s="17">
        <f>INDEX(חישוב!$V:$V,MATCH(LARGE(חישוב!$W$2:$W$52,25),חישוב!$W$2:$W$52,0)+1)</f>
        <v/>
      </c>
      <c r="D28" s="18">
        <f>INDEX(חישוב!$M:$M,MATCH(LARGE(חישוב!$W$2:$W$52,25),חישוב!$W$2:$W$52,0)+1)</f>
        <v/>
      </c>
      <c r="E28" s="18">
        <f>INDEX(חישוב!$S:$S,MATCH(LARGE(חישוב!$W$2:$W$52,25),חישוב!$W$2:$W$52,0)+1)</f>
        <v/>
      </c>
      <c r="F28" s="18">
        <f>INDEX(חישוב!$T:$T,MATCH(LARGE(חישוב!$W$2:$W$52,25),חישוב!$W$2:$W$52,0)+1)</f>
        <v/>
      </c>
    </row>
    <row r="29">
      <c r="A29" s="16" t="n">
        <v>26</v>
      </c>
      <c r="B29" s="16">
        <f>INDEX(חישוב!$B:$B,MATCH(LARGE(חישוב!$W$2:$W$52,26),חישוב!$W$2:$W$52,0)+1)</f>
        <v/>
      </c>
      <c r="C29" s="17">
        <f>INDEX(חישוב!$V:$V,MATCH(LARGE(חישוב!$W$2:$W$52,26),חישוב!$W$2:$W$52,0)+1)</f>
        <v/>
      </c>
      <c r="D29" s="18">
        <f>INDEX(חישוב!$M:$M,MATCH(LARGE(חישוב!$W$2:$W$52,26),חישוב!$W$2:$W$52,0)+1)</f>
        <v/>
      </c>
      <c r="E29" s="18">
        <f>INDEX(חישוב!$S:$S,MATCH(LARGE(חישוב!$W$2:$W$52,26),חישוב!$W$2:$W$52,0)+1)</f>
        <v/>
      </c>
      <c r="F29" s="18">
        <f>INDEX(חישוב!$T:$T,MATCH(LARGE(חישוב!$W$2:$W$52,26),חישוב!$W$2:$W$52,0)+1)</f>
        <v/>
      </c>
    </row>
    <row r="30">
      <c r="A30" s="16" t="n">
        <v>27</v>
      </c>
      <c r="B30" s="16">
        <f>INDEX(חישוב!$B:$B,MATCH(LARGE(חישוב!$W$2:$W$52,27),חישוב!$W$2:$W$52,0)+1)</f>
        <v/>
      </c>
      <c r="C30" s="17">
        <f>INDEX(חישוב!$V:$V,MATCH(LARGE(חישוב!$W$2:$W$52,27),חישוב!$W$2:$W$52,0)+1)</f>
        <v/>
      </c>
      <c r="D30" s="18">
        <f>INDEX(חישוב!$M:$M,MATCH(LARGE(חישוב!$W$2:$W$52,27),חישוב!$W$2:$W$52,0)+1)</f>
        <v/>
      </c>
      <c r="E30" s="18">
        <f>INDEX(חישוב!$S:$S,MATCH(LARGE(חישוב!$W$2:$W$52,27),חישוב!$W$2:$W$52,0)+1)</f>
        <v/>
      </c>
      <c r="F30" s="18">
        <f>INDEX(חישוב!$T:$T,MATCH(LARGE(חישוב!$W$2:$W$52,27),חישוב!$W$2:$W$52,0)+1)</f>
        <v/>
      </c>
    </row>
    <row r="31">
      <c r="A31" s="16" t="n">
        <v>28</v>
      </c>
      <c r="B31" s="16">
        <f>INDEX(חישוב!$B:$B,MATCH(LARGE(חישוב!$W$2:$W$52,28),חישוב!$W$2:$W$52,0)+1)</f>
        <v/>
      </c>
      <c r="C31" s="17">
        <f>INDEX(חישוב!$V:$V,MATCH(LARGE(חישוב!$W$2:$W$52,28),חישוב!$W$2:$W$52,0)+1)</f>
        <v/>
      </c>
      <c r="D31" s="18">
        <f>INDEX(חישוב!$M:$M,MATCH(LARGE(חישוב!$W$2:$W$52,28),חישוב!$W$2:$W$52,0)+1)</f>
        <v/>
      </c>
      <c r="E31" s="18">
        <f>INDEX(חישוב!$S:$S,MATCH(LARGE(חישוב!$W$2:$W$52,28),חישוב!$W$2:$W$52,0)+1)</f>
        <v/>
      </c>
      <c r="F31" s="18">
        <f>INDEX(חישוב!$T:$T,MATCH(LARGE(חישוב!$W$2:$W$52,28),חישוב!$W$2:$W$52,0)+1)</f>
        <v/>
      </c>
    </row>
    <row r="32">
      <c r="A32" s="16" t="n">
        <v>29</v>
      </c>
      <c r="B32" s="16">
        <f>INDEX(חישוב!$B:$B,MATCH(LARGE(חישוב!$W$2:$W$52,29),חישוב!$W$2:$W$52,0)+1)</f>
        <v/>
      </c>
      <c r="C32" s="17">
        <f>INDEX(חישוב!$V:$V,MATCH(LARGE(חישוב!$W$2:$W$52,29),חישוב!$W$2:$W$52,0)+1)</f>
        <v/>
      </c>
      <c r="D32" s="18">
        <f>INDEX(חישוב!$M:$M,MATCH(LARGE(חישוב!$W$2:$W$52,29),חישוב!$W$2:$W$52,0)+1)</f>
        <v/>
      </c>
      <c r="E32" s="18">
        <f>INDEX(חישוב!$S:$S,MATCH(LARGE(חישוב!$W$2:$W$52,29),חישוב!$W$2:$W$52,0)+1)</f>
        <v/>
      </c>
      <c r="F32" s="18">
        <f>INDEX(חישוב!$T:$T,MATCH(LARGE(חישוב!$W$2:$W$52,29),חישוב!$W$2:$W$52,0)+1)</f>
        <v/>
      </c>
    </row>
    <row r="33">
      <c r="A33" s="16" t="n">
        <v>30</v>
      </c>
      <c r="B33" s="16">
        <f>INDEX(חישוב!$B:$B,MATCH(LARGE(חישוב!$W$2:$W$52,30),חישוב!$W$2:$W$52,0)+1)</f>
        <v/>
      </c>
      <c r="C33" s="17">
        <f>INDEX(חישוב!$V:$V,MATCH(LARGE(חישוב!$W$2:$W$52,30),חישוב!$W$2:$W$52,0)+1)</f>
        <v/>
      </c>
      <c r="D33" s="18">
        <f>INDEX(חישוב!$M:$M,MATCH(LARGE(חישוב!$W$2:$W$52,30),חישוב!$W$2:$W$52,0)+1)</f>
        <v/>
      </c>
      <c r="E33" s="18">
        <f>INDEX(חישוב!$S:$S,MATCH(LARGE(חישוב!$W$2:$W$52,30),חישוב!$W$2:$W$52,0)+1)</f>
        <v/>
      </c>
      <c r="F33" s="18">
        <f>INDEX(חישוב!$T:$T,MATCH(LARGE(חישוב!$W$2:$W$52,30),חישוב!$W$2:$W$52,0)+1)</f>
        <v/>
      </c>
    </row>
    <row r="34">
      <c r="A34" s="16" t="n">
        <v>31</v>
      </c>
      <c r="B34" s="16">
        <f>INDEX(חישוב!$B:$B,MATCH(LARGE(חישוב!$W$2:$W$52,31),חישוב!$W$2:$W$52,0)+1)</f>
        <v/>
      </c>
      <c r="C34" s="17">
        <f>INDEX(חישוב!$V:$V,MATCH(LARGE(חישוב!$W$2:$W$52,31),חישוב!$W$2:$W$52,0)+1)</f>
        <v/>
      </c>
      <c r="D34" s="18">
        <f>INDEX(חישוב!$M:$M,MATCH(LARGE(חישוב!$W$2:$W$52,31),חישוב!$W$2:$W$52,0)+1)</f>
        <v/>
      </c>
      <c r="E34" s="18">
        <f>INDEX(חישוב!$S:$S,MATCH(LARGE(חישוב!$W$2:$W$52,31),חישוב!$W$2:$W$52,0)+1)</f>
        <v/>
      </c>
      <c r="F34" s="18">
        <f>INDEX(חישוב!$T:$T,MATCH(LARGE(חישוב!$W$2:$W$52,31),חישוב!$W$2:$W$52,0)+1)</f>
        <v/>
      </c>
    </row>
    <row r="35">
      <c r="A35" s="16" t="n">
        <v>32</v>
      </c>
      <c r="B35" s="16">
        <f>INDEX(חישוב!$B:$B,MATCH(LARGE(חישוב!$W$2:$W$52,32),חישוב!$W$2:$W$52,0)+1)</f>
        <v/>
      </c>
      <c r="C35" s="17">
        <f>INDEX(חישוב!$V:$V,MATCH(LARGE(חישוב!$W$2:$W$52,32),חישוב!$W$2:$W$52,0)+1)</f>
        <v/>
      </c>
      <c r="D35" s="18">
        <f>INDEX(חישוב!$M:$M,MATCH(LARGE(חישוב!$W$2:$W$52,32),חישוב!$W$2:$W$52,0)+1)</f>
        <v/>
      </c>
      <c r="E35" s="18">
        <f>INDEX(חישוב!$S:$S,MATCH(LARGE(חישוב!$W$2:$W$52,32),חישוב!$W$2:$W$52,0)+1)</f>
        <v/>
      </c>
      <c r="F35" s="18">
        <f>INDEX(חישוב!$T:$T,MATCH(LARGE(חישוב!$W$2:$W$52,32),חישוב!$W$2:$W$52,0)+1)</f>
        <v/>
      </c>
    </row>
    <row r="36">
      <c r="A36" s="16" t="n">
        <v>33</v>
      </c>
      <c r="B36" s="16">
        <f>INDEX(חישוב!$B:$B,MATCH(LARGE(חישוב!$W$2:$W$52,33),חישוב!$W$2:$W$52,0)+1)</f>
        <v/>
      </c>
      <c r="C36" s="17">
        <f>INDEX(חישוב!$V:$V,MATCH(LARGE(חישוב!$W$2:$W$52,33),חישוב!$W$2:$W$52,0)+1)</f>
        <v/>
      </c>
      <c r="D36" s="18">
        <f>INDEX(חישוב!$M:$M,MATCH(LARGE(חישוב!$W$2:$W$52,33),חישוב!$W$2:$W$52,0)+1)</f>
        <v/>
      </c>
      <c r="E36" s="18">
        <f>INDEX(חישוב!$S:$S,MATCH(LARGE(חישוב!$W$2:$W$52,33),חישוב!$W$2:$W$52,0)+1)</f>
        <v/>
      </c>
      <c r="F36" s="18">
        <f>INDEX(חישוב!$T:$T,MATCH(LARGE(חישוב!$W$2:$W$52,33),חישוב!$W$2:$W$52,0)+1)</f>
        <v/>
      </c>
    </row>
    <row r="37">
      <c r="A37" s="16" t="n">
        <v>34</v>
      </c>
      <c r="B37" s="16">
        <f>INDEX(חישוב!$B:$B,MATCH(LARGE(חישוב!$W$2:$W$52,34),חישוב!$W$2:$W$52,0)+1)</f>
        <v/>
      </c>
      <c r="C37" s="17">
        <f>INDEX(חישוב!$V:$V,MATCH(LARGE(חישוב!$W$2:$W$52,34),חישוב!$W$2:$W$52,0)+1)</f>
        <v/>
      </c>
      <c r="D37" s="18">
        <f>INDEX(חישוב!$M:$M,MATCH(LARGE(חישוב!$W$2:$W$52,34),חישוב!$W$2:$W$52,0)+1)</f>
        <v/>
      </c>
      <c r="E37" s="18">
        <f>INDEX(חישוב!$S:$S,MATCH(LARGE(חישוב!$W$2:$W$52,34),חישוב!$W$2:$W$52,0)+1)</f>
        <v/>
      </c>
      <c r="F37" s="18">
        <f>INDEX(חישוב!$T:$T,MATCH(LARGE(חישוב!$W$2:$W$52,34),חישוב!$W$2:$W$52,0)+1)</f>
        <v/>
      </c>
    </row>
    <row r="38">
      <c r="A38" s="16" t="n">
        <v>35</v>
      </c>
      <c r="B38" s="16">
        <f>INDEX(חישוב!$B:$B,MATCH(LARGE(חישוב!$W$2:$W$52,35),חישוב!$W$2:$W$52,0)+1)</f>
        <v/>
      </c>
      <c r="C38" s="17">
        <f>INDEX(חישוב!$V:$V,MATCH(LARGE(חישוב!$W$2:$W$52,35),חישוב!$W$2:$W$52,0)+1)</f>
        <v/>
      </c>
      <c r="D38" s="18">
        <f>INDEX(חישוב!$M:$M,MATCH(LARGE(חישוב!$W$2:$W$52,35),חישוב!$W$2:$W$52,0)+1)</f>
        <v/>
      </c>
      <c r="E38" s="18">
        <f>INDEX(חישוב!$S:$S,MATCH(LARGE(חישוב!$W$2:$W$52,35),חישוב!$W$2:$W$52,0)+1)</f>
        <v/>
      </c>
      <c r="F38" s="18">
        <f>INDEX(חישוב!$T:$T,MATCH(LARGE(חישוב!$W$2:$W$52,35),חישוב!$W$2:$W$52,0)+1)</f>
        <v/>
      </c>
    </row>
    <row r="39">
      <c r="A39" s="16" t="n">
        <v>36</v>
      </c>
      <c r="B39" s="16">
        <f>INDEX(חישוב!$B:$B,MATCH(LARGE(חישוב!$W$2:$W$52,36),חישוב!$W$2:$W$52,0)+1)</f>
        <v/>
      </c>
      <c r="C39" s="17">
        <f>INDEX(חישוב!$V:$V,MATCH(LARGE(חישוב!$W$2:$W$52,36),חישוב!$W$2:$W$52,0)+1)</f>
        <v/>
      </c>
      <c r="D39" s="18">
        <f>INDEX(חישוב!$M:$M,MATCH(LARGE(חישוב!$W$2:$W$52,36),חישוב!$W$2:$W$52,0)+1)</f>
        <v/>
      </c>
      <c r="E39" s="18">
        <f>INDEX(חישוב!$S:$S,MATCH(LARGE(חישוב!$W$2:$W$52,36),חישוב!$W$2:$W$52,0)+1)</f>
        <v/>
      </c>
      <c r="F39" s="18">
        <f>INDEX(חישוב!$T:$T,MATCH(LARGE(חישוב!$W$2:$W$52,36),חישוב!$W$2:$W$52,0)+1)</f>
        <v/>
      </c>
    </row>
    <row r="40">
      <c r="A40" s="16" t="n">
        <v>37</v>
      </c>
      <c r="B40" s="16">
        <f>INDEX(חישוב!$B:$B,MATCH(LARGE(חישוב!$W$2:$W$52,37),חישוב!$W$2:$W$52,0)+1)</f>
        <v/>
      </c>
      <c r="C40" s="17">
        <f>INDEX(חישוב!$V:$V,MATCH(LARGE(חישוב!$W$2:$W$52,37),חישוב!$W$2:$W$52,0)+1)</f>
        <v/>
      </c>
      <c r="D40" s="18">
        <f>INDEX(חישוב!$M:$M,MATCH(LARGE(חישוב!$W$2:$W$52,37),חישוב!$W$2:$W$52,0)+1)</f>
        <v/>
      </c>
      <c r="E40" s="18">
        <f>INDEX(חישוב!$S:$S,MATCH(LARGE(חישוב!$W$2:$W$52,37),חישוב!$W$2:$W$52,0)+1)</f>
        <v/>
      </c>
      <c r="F40" s="18">
        <f>INDEX(חישוב!$T:$T,MATCH(LARGE(חישוב!$W$2:$W$52,37),חישוב!$W$2:$W$52,0)+1)</f>
        <v/>
      </c>
    </row>
    <row r="41">
      <c r="A41" s="16" t="n">
        <v>38</v>
      </c>
      <c r="B41" s="16">
        <f>INDEX(חישוב!$B:$B,MATCH(LARGE(חישוב!$W$2:$W$52,38),חישוב!$W$2:$W$52,0)+1)</f>
        <v/>
      </c>
      <c r="C41" s="17">
        <f>INDEX(חישוב!$V:$V,MATCH(LARGE(חישוב!$W$2:$W$52,38),חישוב!$W$2:$W$52,0)+1)</f>
        <v/>
      </c>
      <c r="D41" s="18">
        <f>INDEX(חישוב!$M:$M,MATCH(LARGE(חישוב!$W$2:$W$52,38),חישוב!$W$2:$W$52,0)+1)</f>
        <v/>
      </c>
      <c r="E41" s="18">
        <f>INDEX(חישוב!$S:$S,MATCH(LARGE(חישוב!$W$2:$W$52,38),חישוב!$W$2:$W$52,0)+1)</f>
        <v/>
      </c>
      <c r="F41" s="18">
        <f>INDEX(חישוב!$T:$T,MATCH(LARGE(חישוב!$W$2:$W$52,38),חישוב!$W$2:$W$52,0)+1)</f>
        <v/>
      </c>
    </row>
    <row r="42">
      <c r="A42" s="16" t="n">
        <v>39</v>
      </c>
      <c r="B42" s="16">
        <f>INDEX(חישוב!$B:$B,MATCH(LARGE(חישוב!$W$2:$W$52,39),חישוב!$W$2:$W$52,0)+1)</f>
        <v/>
      </c>
      <c r="C42" s="17">
        <f>INDEX(חישוב!$V:$V,MATCH(LARGE(חישוב!$W$2:$W$52,39),חישוב!$W$2:$W$52,0)+1)</f>
        <v/>
      </c>
      <c r="D42" s="18">
        <f>INDEX(חישוב!$M:$M,MATCH(LARGE(חישוב!$W$2:$W$52,39),חישוב!$W$2:$W$52,0)+1)</f>
        <v/>
      </c>
      <c r="E42" s="18">
        <f>INDEX(חישוב!$S:$S,MATCH(LARGE(חישוב!$W$2:$W$52,39),חישוב!$W$2:$W$52,0)+1)</f>
        <v/>
      </c>
      <c r="F42" s="18">
        <f>INDEX(חישוב!$T:$T,MATCH(LARGE(חישוב!$W$2:$W$52,39),חישוב!$W$2:$W$52,0)+1)</f>
        <v/>
      </c>
    </row>
    <row r="43">
      <c r="A43" s="16" t="n">
        <v>40</v>
      </c>
      <c r="B43" s="16">
        <f>INDEX(חישוב!$B:$B,MATCH(LARGE(חישוב!$W$2:$W$52,40),חישוב!$W$2:$W$52,0)+1)</f>
        <v/>
      </c>
      <c r="C43" s="17">
        <f>INDEX(חישוב!$V:$V,MATCH(LARGE(חישוב!$W$2:$W$52,40),חישוב!$W$2:$W$52,0)+1)</f>
        <v/>
      </c>
      <c r="D43" s="18">
        <f>INDEX(חישוב!$M:$M,MATCH(LARGE(חישוב!$W$2:$W$52,40),חישוב!$W$2:$W$52,0)+1)</f>
        <v/>
      </c>
      <c r="E43" s="18">
        <f>INDEX(חישוב!$S:$S,MATCH(LARGE(חישוב!$W$2:$W$52,40),חישוב!$W$2:$W$52,0)+1)</f>
        <v/>
      </c>
      <c r="F43" s="18">
        <f>INDEX(חישוב!$T:$T,MATCH(LARGE(חישוב!$W$2:$W$52,40),חישוב!$W$2:$W$52,0)+1)</f>
        <v/>
      </c>
    </row>
    <row r="44">
      <c r="A44" s="16" t="n">
        <v>41</v>
      </c>
      <c r="B44" s="16">
        <f>INDEX(חישוב!$B:$B,MATCH(LARGE(חישוב!$W$2:$W$52,41),חישוב!$W$2:$W$52,0)+1)</f>
        <v/>
      </c>
      <c r="C44" s="17">
        <f>INDEX(חישוב!$V:$V,MATCH(LARGE(חישוב!$W$2:$W$52,41),חישוב!$W$2:$W$52,0)+1)</f>
        <v/>
      </c>
      <c r="D44" s="18">
        <f>INDEX(חישוב!$M:$M,MATCH(LARGE(חישוב!$W$2:$W$52,41),חישוב!$W$2:$W$52,0)+1)</f>
        <v/>
      </c>
      <c r="E44" s="18">
        <f>INDEX(חישוב!$S:$S,MATCH(LARGE(חישוב!$W$2:$W$52,41),חישוב!$W$2:$W$52,0)+1)</f>
        <v/>
      </c>
      <c r="F44" s="18">
        <f>INDEX(חישוב!$T:$T,MATCH(LARGE(חישוב!$W$2:$W$52,41),חישוב!$W$2:$W$52,0)+1)</f>
        <v/>
      </c>
    </row>
    <row r="45">
      <c r="A45" s="16" t="n">
        <v>42</v>
      </c>
      <c r="B45" s="16">
        <f>INDEX(חישוב!$B:$B,MATCH(LARGE(חישוב!$W$2:$W$52,42),חישוב!$W$2:$W$52,0)+1)</f>
        <v/>
      </c>
      <c r="C45" s="17">
        <f>INDEX(חישוב!$V:$V,MATCH(LARGE(חישוב!$W$2:$W$52,42),חישוב!$W$2:$W$52,0)+1)</f>
        <v/>
      </c>
      <c r="D45" s="18">
        <f>INDEX(חישוב!$M:$M,MATCH(LARGE(חישוב!$W$2:$W$52,42),חישוב!$W$2:$W$52,0)+1)</f>
        <v/>
      </c>
      <c r="E45" s="18">
        <f>INDEX(חישוב!$S:$S,MATCH(LARGE(חישוב!$W$2:$W$52,42),חישוב!$W$2:$W$52,0)+1)</f>
        <v/>
      </c>
      <c r="F45" s="18">
        <f>INDEX(חישוב!$T:$T,MATCH(LARGE(חישוב!$W$2:$W$52,42),חישוב!$W$2:$W$52,0)+1)</f>
        <v/>
      </c>
    </row>
    <row r="46">
      <c r="A46" s="16" t="n">
        <v>43</v>
      </c>
      <c r="B46" s="16">
        <f>INDEX(חישוב!$B:$B,MATCH(LARGE(חישוב!$W$2:$W$52,43),חישוב!$W$2:$W$52,0)+1)</f>
        <v/>
      </c>
      <c r="C46" s="17">
        <f>INDEX(חישוב!$V:$V,MATCH(LARGE(חישוב!$W$2:$W$52,43),חישוב!$W$2:$W$52,0)+1)</f>
        <v/>
      </c>
      <c r="D46" s="18">
        <f>INDEX(חישוב!$M:$M,MATCH(LARGE(חישוב!$W$2:$W$52,43),חישוב!$W$2:$W$52,0)+1)</f>
        <v/>
      </c>
      <c r="E46" s="18">
        <f>INDEX(חישוב!$S:$S,MATCH(LARGE(חישוב!$W$2:$W$52,43),חישוב!$W$2:$W$52,0)+1)</f>
        <v/>
      </c>
      <c r="F46" s="18">
        <f>INDEX(חישוב!$T:$T,MATCH(LARGE(חישוב!$W$2:$W$52,43),חישוב!$W$2:$W$52,0)+1)</f>
        <v/>
      </c>
    </row>
    <row r="47">
      <c r="A47" s="16" t="n">
        <v>44</v>
      </c>
      <c r="B47" s="16">
        <f>INDEX(חישוב!$B:$B,MATCH(LARGE(חישוב!$W$2:$W$52,44),חישוב!$W$2:$W$52,0)+1)</f>
        <v/>
      </c>
      <c r="C47" s="17">
        <f>INDEX(חישוב!$V:$V,MATCH(LARGE(חישוב!$W$2:$W$52,44),חישוב!$W$2:$W$52,0)+1)</f>
        <v/>
      </c>
      <c r="D47" s="18">
        <f>INDEX(חישוב!$M:$M,MATCH(LARGE(חישוב!$W$2:$W$52,44),חישוב!$W$2:$W$52,0)+1)</f>
        <v/>
      </c>
      <c r="E47" s="18">
        <f>INDEX(חישוב!$S:$S,MATCH(LARGE(חישוב!$W$2:$W$52,44),חישוב!$W$2:$W$52,0)+1)</f>
        <v/>
      </c>
      <c r="F47" s="18">
        <f>INDEX(חישוב!$T:$T,MATCH(LARGE(חישוב!$W$2:$W$52,44),חישוב!$W$2:$W$52,0)+1)</f>
        <v/>
      </c>
    </row>
    <row r="48">
      <c r="A48" s="16" t="n">
        <v>45</v>
      </c>
      <c r="B48" s="16">
        <f>INDEX(חישוב!$B:$B,MATCH(LARGE(חישוב!$W$2:$W$52,45),חישוב!$W$2:$W$52,0)+1)</f>
        <v/>
      </c>
      <c r="C48" s="17">
        <f>INDEX(חישוב!$V:$V,MATCH(LARGE(חישוב!$W$2:$W$52,45),חישוב!$W$2:$W$52,0)+1)</f>
        <v/>
      </c>
      <c r="D48" s="18">
        <f>INDEX(חישוב!$M:$M,MATCH(LARGE(חישוב!$W$2:$W$52,45),חישוב!$W$2:$W$52,0)+1)</f>
        <v/>
      </c>
      <c r="E48" s="18">
        <f>INDEX(חישוב!$S:$S,MATCH(LARGE(חישוב!$W$2:$W$52,45),חישוב!$W$2:$W$52,0)+1)</f>
        <v/>
      </c>
      <c r="F48" s="18">
        <f>INDEX(חישוב!$T:$T,MATCH(LARGE(חישוב!$W$2:$W$52,45),חישוב!$W$2:$W$52,0)+1)</f>
        <v/>
      </c>
    </row>
    <row r="49">
      <c r="A49" s="16" t="n">
        <v>46</v>
      </c>
      <c r="B49" s="16">
        <f>INDEX(חישוב!$B:$B,MATCH(LARGE(חישוב!$W$2:$W$52,46),חישוב!$W$2:$W$52,0)+1)</f>
        <v/>
      </c>
      <c r="C49" s="17">
        <f>INDEX(חישוב!$V:$V,MATCH(LARGE(חישוב!$W$2:$W$52,46),חישוב!$W$2:$W$52,0)+1)</f>
        <v/>
      </c>
      <c r="D49" s="18">
        <f>INDEX(חישוב!$M:$M,MATCH(LARGE(חישוב!$W$2:$W$52,46),חישוב!$W$2:$W$52,0)+1)</f>
        <v/>
      </c>
      <c r="E49" s="18">
        <f>INDEX(חישוב!$S:$S,MATCH(LARGE(חישוב!$W$2:$W$52,46),חישוב!$W$2:$W$52,0)+1)</f>
        <v/>
      </c>
      <c r="F49" s="18">
        <f>INDEX(חישוב!$T:$T,MATCH(LARGE(חישוב!$W$2:$W$52,46),חישוב!$W$2:$W$52,0)+1)</f>
        <v/>
      </c>
    </row>
    <row r="50">
      <c r="A50" s="16" t="n">
        <v>47</v>
      </c>
      <c r="B50" s="16">
        <f>INDEX(חישוב!$B:$B,MATCH(LARGE(חישוב!$W$2:$W$52,47),חישוב!$W$2:$W$52,0)+1)</f>
        <v/>
      </c>
      <c r="C50" s="17">
        <f>INDEX(חישוב!$V:$V,MATCH(LARGE(חישוב!$W$2:$W$52,47),חישוב!$W$2:$W$52,0)+1)</f>
        <v/>
      </c>
      <c r="D50" s="18">
        <f>INDEX(חישוב!$M:$M,MATCH(LARGE(חישוב!$W$2:$W$52,47),חישוב!$W$2:$W$52,0)+1)</f>
        <v/>
      </c>
      <c r="E50" s="18">
        <f>INDEX(חישוב!$S:$S,MATCH(LARGE(חישוב!$W$2:$W$52,47),חישוב!$W$2:$W$52,0)+1)</f>
        <v/>
      </c>
      <c r="F50" s="18">
        <f>INDEX(חישוב!$T:$T,MATCH(LARGE(חישוב!$W$2:$W$52,47),חישוב!$W$2:$W$52,0)+1)</f>
        <v/>
      </c>
    </row>
    <row r="51">
      <c r="A51" s="16" t="n">
        <v>48</v>
      </c>
      <c r="B51" s="16">
        <f>INDEX(חישוב!$B:$B,MATCH(LARGE(חישוב!$W$2:$W$52,48),חישוב!$W$2:$W$52,0)+1)</f>
        <v/>
      </c>
      <c r="C51" s="17">
        <f>INDEX(חישוב!$V:$V,MATCH(LARGE(חישוב!$W$2:$W$52,48),חישוב!$W$2:$W$52,0)+1)</f>
        <v/>
      </c>
      <c r="D51" s="18">
        <f>INDEX(חישוב!$M:$M,MATCH(LARGE(חישוב!$W$2:$W$52,48),חישוב!$W$2:$W$52,0)+1)</f>
        <v/>
      </c>
      <c r="E51" s="18">
        <f>INDEX(חישוב!$S:$S,MATCH(LARGE(חישוב!$W$2:$W$52,48),חישוב!$W$2:$W$52,0)+1)</f>
        <v/>
      </c>
      <c r="F51" s="18">
        <f>INDEX(חישוב!$T:$T,MATCH(LARGE(חישוב!$W$2:$W$52,48),חישוב!$W$2:$W$52,0)+1)</f>
        <v/>
      </c>
    </row>
    <row r="52">
      <c r="A52" s="16" t="n">
        <v>49</v>
      </c>
      <c r="B52" s="16">
        <f>INDEX(חישוב!$B:$B,MATCH(LARGE(חישוב!$W$2:$W$52,49),חישוב!$W$2:$W$52,0)+1)</f>
        <v/>
      </c>
      <c r="C52" s="17">
        <f>INDEX(חישוב!$V:$V,MATCH(LARGE(חישוב!$W$2:$W$52,49),חישוב!$W$2:$W$52,0)+1)</f>
        <v/>
      </c>
      <c r="D52" s="18">
        <f>INDEX(חישוב!$M:$M,MATCH(LARGE(חישוב!$W$2:$W$52,49),חישוב!$W$2:$W$52,0)+1)</f>
        <v/>
      </c>
      <c r="E52" s="18">
        <f>INDEX(חישוב!$S:$S,MATCH(LARGE(חישוב!$W$2:$W$52,49),חישוב!$W$2:$W$52,0)+1)</f>
        <v/>
      </c>
      <c r="F52" s="18">
        <f>INDEX(חישוב!$T:$T,MATCH(LARGE(חישוב!$W$2:$W$52,49),חישוב!$W$2:$W$52,0)+1)</f>
        <v/>
      </c>
    </row>
    <row r="53">
      <c r="A53" s="16" t="n">
        <v>50</v>
      </c>
      <c r="B53" s="16">
        <f>INDEX(חישוב!$B:$B,MATCH(LARGE(חישוב!$W$2:$W$52,50),חישוב!$W$2:$W$52,0)+1)</f>
        <v/>
      </c>
      <c r="C53" s="17">
        <f>INDEX(חישוב!$V:$V,MATCH(LARGE(חישוב!$W$2:$W$52,50),חישוב!$W$2:$W$52,0)+1)</f>
        <v/>
      </c>
      <c r="D53" s="18">
        <f>INDEX(חישוב!$M:$M,MATCH(LARGE(חישוב!$W$2:$W$52,50),חישוב!$W$2:$W$52,0)+1)</f>
        <v/>
      </c>
      <c r="E53" s="18">
        <f>INDEX(חישוב!$S:$S,MATCH(LARGE(חישוב!$W$2:$W$52,50),חישוב!$W$2:$W$52,0)+1)</f>
        <v/>
      </c>
      <c r="F53" s="18">
        <f>INDEX(חישוב!$T:$T,MATCH(LARGE(חישוב!$W$2:$W$52,50),חישוב!$W$2:$W$52,0)+1)</f>
        <v/>
      </c>
    </row>
    <row r="54">
      <c r="A54" s="16" t="n">
        <v>51</v>
      </c>
      <c r="B54" s="16">
        <f>INDEX(חישוב!$B:$B,MATCH(LARGE(חישוב!$W$2:$W$52,51),חישוב!$W$2:$W$52,0)+1)</f>
        <v/>
      </c>
      <c r="C54" s="17">
        <f>INDEX(חישוב!$V:$V,MATCH(LARGE(חישוב!$W$2:$W$52,51),חישוב!$W$2:$W$52,0)+1)</f>
        <v/>
      </c>
      <c r="D54" s="18">
        <f>INDEX(חישוב!$M:$M,MATCH(LARGE(חישוב!$W$2:$W$52,51),חישוב!$W$2:$W$52,0)+1)</f>
        <v/>
      </c>
      <c r="E54" s="18">
        <f>INDEX(חישוב!$S:$S,MATCH(LARGE(חישוב!$W$2:$W$52,51),חישוב!$W$2:$W$52,0)+1)</f>
        <v/>
      </c>
      <c r="F54" s="18">
        <f>INDEX(חישוב!$T:$T,MATCH(LARGE(חישוב!$W$2:$W$52,51),חישוב!$W$2:$W$52,0)+1)</f>
        <v/>
      </c>
    </row>
    <row r="56">
      <c r="A56" s="19" t="inlineStr">
        <is>
          <t>ירוק = 8 המקומות הראשונים (מצביעים ל-6-8 מועמדים)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2026-07-18T15:23:08Z</dcterms:created>
  <dcterms:modified xmlns:dcterms="http://purl.org/dc/terms/" xmlns:xsi="http://www.w3.org/2001/XMLSchema-instance" xsi:type="dcterms:W3CDTF">2026-07-18T15:23:08Z</dcterms:modified>
</cp:coreProperties>
</file>